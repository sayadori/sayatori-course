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相関係数" sheetId="1" r:id="rId4"/>
    <sheet state="visible" name="長期" sheetId="2" r:id="rId5"/>
    <sheet state="visible" name="短期" sheetId="3" r:id="rId6"/>
    <sheet state="visible" name="ボリンジャーバンド" sheetId="4" r:id="rId7"/>
  </sheets>
  <definedNames/>
  <calcPr/>
  <extLst>
    <ext uri="GoogleSheetsCustomDataVersion2">
      <go:sheetsCustomData xmlns:go="http://customooxmlschemas.google.com/" r:id="rId8" roundtripDataChecksum="xZkJD5JvlzEIwF/p6UKTT49it7d3XJsOgj+4UaJSQU0="/>
    </ext>
  </extLst>
</workbook>
</file>

<file path=xl/sharedStrings.xml><?xml version="1.0" encoding="utf-8"?>
<sst xmlns="http://schemas.openxmlformats.org/spreadsheetml/2006/main" count="33" uniqueCount="20">
  <si>
    <t>終値</t>
  </si>
  <si>
    <t>3か月相関係数</t>
  </si>
  <si>
    <t>２年相関係数</t>
  </si>
  <si>
    <t>日付</t>
  </si>
  <si>
    <t>サヤ</t>
  </si>
  <si>
    <t>倍率</t>
  </si>
  <si>
    <t>長期相関係数</t>
  </si>
  <si>
    <t>サヤ平均</t>
  </si>
  <si>
    <t>標準偏差(σ)</t>
  </si>
  <si>
    <t>＋2σ</t>
  </si>
  <si>
    <t>＋1σ</t>
  </si>
  <si>
    <t>−1σ</t>
  </si>
  <si>
    <t>−2σ</t>
  </si>
  <si>
    <t>短期相関係数</t>
  </si>
  <si>
    <t>標準偏差(3か月)</t>
  </si>
  <si>
    <t>最新標準偏差(25日)</t>
  </si>
  <si>
    <t>＋２σ</t>
  </si>
  <si>
    <t>＋σ</t>
  </si>
  <si>
    <t>−σ</t>
  </si>
  <si>
    <t>最新標準偏差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</si>
</sst>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0.00_ "/>
    <numFmt numFmtId="166" formatCode="#,##0.0"/>
    <numFmt numFmtId="167" formatCode="yyyy\-mm\-dd"/>
    <numFmt numFmtId="168" formatCode="0_ ;[Red]\-0\ "/>
    <numFmt numFmtId="169" formatCode="0_ "/>
  </numFmts>
  <fonts count="16">
    <font>
      <sz val="10.0"/>
      <color rgb="FF000000"/>
      <name val="Calibri"/>
      <scheme val="minor"/>
    </font>
    <font>
      <sz val="14.0"/>
      <color theme="1"/>
      <name val="MS PGothic"/>
    </font>
    <font>
      <sz val="11.0"/>
      <color theme="1"/>
      <name val="MS PGothic"/>
    </font>
    <font>
      <sz val="18.0"/>
      <color theme="1"/>
      <name val="MS PGothic"/>
    </font>
    <font>
      <sz val="12.0"/>
      <color theme="1"/>
      <name val="MS PGothic"/>
    </font>
    <font>
      <b/>
      <sz val="14.0"/>
      <color rgb="FF000000"/>
      <name val="MS PGothic"/>
    </font>
    <font>
      <sz val="16.0"/>
      <color rgb="FFFF0000"/>
      <name val="MS PGothic"/>
    </font>
    <font>
      <sz val="10.0"/>
      <color theme="0"/>
      <name val="MS PGothic"/>
    </font>
    <font>
      <color theme="1"/>
      <name val="Calibri"/>
    </font>
    <font>
      <sz val="9.0"/>
      <color theme="0"/>
      <name val="Arial"/>
    </font>
    <font>
      <b/>
      <sz val="14.0"/>
      <color theme="1"/>
      <name val="MS PGothic"/>
    </font>
    <font>
      <sz val="14.0"/>
      <color rgb="FF000000"/>
      <name val="MS PGothic"/>
    </font>
    <font>
      <sz val="12.0"/>
      <color rgb="FF000000"/>
      <name val="MS PGothic"/>
    </font>
    <font>
      <sz val="10.0"/>
      <color theme="1"/>
      <name val="MS PGothic"/>
    </font>
    <font>
      <sz val="9.0"/>
      <color theme="0"/>
      <name val="MS PGothic"/>
    </font>
    <font>
      <b/>
      <sz val="12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1" vertical="center" wrapText="0"/>
    </xf>
    <xf borderId="0" fillId="0" fontId="1" numFmtId="0" xfId="0" applyAlignment="1" applyFont="1">
      <alignment shrinkToFit="1" vertical="center" wrapText="0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1" numFmtId="9" xfId="0" applyAlignment="1" applyFont="1" applyNumberFormat="1">
      <alignment vertical="center"/>
    </xf>
    <xf borderId="1" fillId="0" fontId="4" numFmtId="0" xfId="0" applyAlignment="1" applyBorder="1" applyFont="1">
      <alignment horizontal="center" vertical="center"/>
    </xf>
    <xf borderId="2" fillId="0" fontId="4" numFmtId="4" xfId="0" applyAlignment="1" applyBorder="1" applyFont="1" applyNumberFormat="1">
      <alignment horizontal="center" shrinkToFit="0" vertical="center" wrapText="1"/>
    </xf>
    <xf borderId="3" fillId="0" fontId="4" numFmtId="4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6" xfId="0" applyAlignment="1" applyFont="1" applyNumberFormat="1">
      <alignment horizontal="center" shrinkToFit="1" vertical="center" wrapText="0"/>
    </xf>
    <xf borderId="0" fillId="0" fontId="5" numFmtId="0" xfId="0" applyAlignment="1" applyFont="1">
      <alignment horizontal="right" vertical="center"/>
    </xf>
    <xf borderId="2" fillId="3" fontId="6" numFmtId="0" xfId="0" applyAlignment="1" applyBorder="1" applyFill="1" applyFont="1">
      <alignment horizontal="center" vertical="center"/>
    </xf>
    <xf borderId="0" fillId="0" fontId="7" numFmtId="0" xfId="0" applyFont="1"/>
    <xf borderId="0" fillId="0" fontId="7" numFmtId="4" xfId="0" applyFont="1" applyNumberFormat="1"/>
    <xf borderId="2" fillId="0" fontId="4" numFmtId="167" xfId="0" applyAlignment="1" applyBorder="1" applyFont="1" applyNumberFormat="1">
      <alignment horizontal="right" vertical="top"/>
    </xf>
    <xf borderId="2" fillId="0" fontId="4" numFmtId="166" xfId="0" applyAlignment="1" applyBorder="1" applyFont="1" applyNumberFormat="1">
      <alignment horizontal="right" vertical="top"/>
    </xf>
    <xf borderId="2" fillId="0" fontId="4" numFmtId="38" xfId="0" applyBorder="1" applyFont="1" applyNumberFormat="1"/>
    <xf borderId="0" fillId="0" fontId="4" numFmtId="164" xfId="0" applyAlignment="1" applyFont="1" applyNumberFormat="1">
      <alignment vertical="center"/>
    </xf>
    <xf borderId="0" fillId="0" fontId="4" numFmtId="166" xfId="0" applyAlignment="1" applyFont="1" applyNumberFormat="1">
      <alignment vertical="center"/>
    </xf>
    <xf borderId="0" fillId="0" fontId="8" numFmtId="0" xfId="0" applyFont="1"/>
    <xf borderId="2" fillId="4" fontId="1" numFmtId="0" xfId="0" applyBorder="1" applyFill="1" applyFont="1"/>
    <xf borderId="2" fillId="5" fontId="5" numFmtId="2" xfId="0" applyBorder="1" applyFill="1" applyFont="1" applyNumberFormat="1"/>
    <xf borderId="0" fillId="0" fontId="7" numFmtId="167" xfId="0" applyFont="1" applyNumberFormat="1"/>
    <xf borderId="4" fillId="5" fontId="9" numFmtId="4" xfId="0" applyBorder="1" applyFont="1" applyNumberFormat="1"/>
    <xf borderId="2" fillId="0" fontId="10" numFmtId="1" xfId="0" applyBorder="1" applyFont="1" applyNumberFormat="1"/>
    <xf borderId="2" fillId="5" fontId="5" numFmtId="1" xfId="0" applyBorder="1" applyFont="1" applyNumberFormat="1"/>
    <xf borderId="2" fillId="4" fontId="1" numFmtId="0" xfId="0" applyAlignment="1" applyBorder="1" applyFont="1">
      <alignment horizontal="center"/>
    </xf>
    <xf borderId="0" fillId="0" fontId="1" numFmtId="0" xfId="0" applyFont="1"/>
    <xf borderId="0" fillId="0" fontId="1" numFmtId="166" xfId="0" applyAlignment="1" applyFont="1" applyNumberFormat="1">
      <alignment vertical="center"/>
    </xf>
    <xf borderId="0" fillId="0" fontId="11" numFmtId="0" xfId="0" applyFont="1"/>
    <xf borderId="2" fillId="0" fontId="12" numFmtId="0" xfId="0" applyAlignment="1" applyBorder="1" applyFont="1">
      <alignment horizontal="center" vertical="center"/>
    </xf>
    <xf borderId="2" fillId="0" fontId="12" numFmtId="4" xfId="0" applyAlignment="1" applyBorder="1" applyFont="1" applyNumberFormat="1">
      <alignment horizontal="center" vertical="center"/>
    </xf>
    <xf borderId="2" fillId="2" fontId="12" numFmtId="168" xfId="0" applyAlignment="1" applyBorder="1" applyFont="1" applyNumberFormat="1">
      <alignment horizontal="center"/>
    </xf>
    <xf borderId="0" fillId="0" fontId="9" numFmtId="4" xfId="0" applyFont="1" applyNumberFormat="1"/>
    <xf borderId="2" fillId="0" fontId="12" numFmtId="167" xfId="0" applyBorder="1" applyFont="1" applyNumberFormat="1"/>
    <xf borderId="2" fillId="0" fontId="12" numFmtId="4" xfId="0" applyBorder="1" applyFont="1" applyNumberFormat="1"/>
    <xf borderId="2" fillId="0" fontId="12" numFmtId="168" xfId="0" applyBorder="1" applyFont="1" applyNumberFormat="1"/>
    <xf borderId="2" fillId="4" fontId="2" numFmtId="0" xfId="0" applyBorder="1" applyFont="1"/>
    <xf borderId="2" fillId="5" fontId="11" numFmtId="2" xfId="0" applyBorder="1" applyFont="1" applyNumberFormat="1"/>
    <xf borderId="2" fillId="5" fontId="11" numFmtId="1" xfId="0" applyBorder="1" applyFont="1" applyNumberFormat="1"/>
    <xf borderId="2" fillId="4" fontId="13" numFmtId="0" xfId="0" applyBorder="1" applyFont="1"/>
    <xf borderId="2" fillId="4" fontId="2" numFmtId="0" xfId="0" applyAlignment="1" applyBorder="1" applyFont="1">
      <alignment horizontal="center"/>
    </xf>
    <xf borderId="0" fillId="0" fontId="12" numFmtId="0" xfId="0" applyFont="1"/>
    <xf borderId="0" fillId="0" fontId="12" numFmtId="168" xfId="0" applyFont="1" applyNumberFormat="1"/>
    <xf borderId="0" fillId="0" fontId="14" numFmtId="0" xfId="0" applyFont="1"/>
    <xf quotePrefix="1" borderId="0" fillId="0" fontId="14" numFmtId="0" xfId="0" applyFont="1"/>
    <xf borderId="2" fillId="4" fontId="15" numFmtId="0" xfId="0" applyAlignment="1" applyBorder="1" applyFont="1">
      <alignment horizontal="center"/>
    </xf>
    <xf borderId="2" fillId="0" fontId="1" numFmtId="169" xfId="0" applyAlignment="1" applyBorder="1" applyFont="1" applyNumberFormat="1">
      <alignment vertical="center"/>
    </xf>
    <xf borderId="0" fillId="0" fontId="9" numFmtId="167" xfId="0" applyFont="1" applyNumberFormat="1"/>
    <xf borderId="0" fillId="0" fontId="2" numFmtId="169" xfId="0" applyAlignment="1" applyFont="1" applyNumberFormat="1">
      <alignment vertical="center"/>
    </xf>
    <xf borderId="0" fillId="0" fontId="9" numFmtId="0" xfId="0" applyFont="1"/>
    <xf borderId="0" fillId="0" fontId="9" numFmtId="164" xfId="0" applyFont="1" applyNumberFormat="1"/>
    <xf borderId="2" fillId="0" fontId="2" numFmtId="16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サヤ</a:t>
            </a:r>
          </a:p>
        </c:rich>
      </c:tx>
      <c:overlay val="0"/>
    </c:title>
    <c:plotArea>
      <c:layout>
        <c:manualLayout>
          <c:xMode val="edge"/>
          <c:yMode val="edge"/>
          <c:x val="0.0876382660687593"/>
          <c:y val="0.103089264379587"/>
          <c:w val="0.894050822122571"/>
          <c:h val="0.694384707287933"/>
        </c:manualLayout>
      </c:layout>
      <c:barChart>
        <c:barDir val="col"/>
        <c:ser>
          <c:idx val="0"/>
          <c:order val="0"/>
          <c:tx>
            <c:v>サヤ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'長期'!$T$1:$T$494</c:f>
            </c:strRef>
          </c:cat>
          <c:val>
            <c:numRef>
              <c:f>'長期'!$U$1:$U$494</c:f>
              <c:numCache/>
            </c:numRef>
          </c:val>
        </c:ser>
        <c:axId val="473430782"/>
        <c:axId val="1690259552"/>
      </c:barChart>
      <c:catAx>
        <c:axId val="47343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0259552"/>
      </c:catAx>
      <c:valAx>
        <c:axId val="1690259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3430782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株価</a:t>
            </a:r>
          </a:p>
        </c:rich>
      </c:tx>
      <c:overlay val="0"/>
    </c:title>
    <c:plotArea>
      <c:layout>
        <c:manualLayout>
          <c:xMode val="edge"/>
          <c:yMode val="edge"/>
          <c:x val="0.0948462861844566"/>
          <c:y val="0.151532242902801"/>
          <c:w val="0.886453736255516"/>
          <c:h val="0.560067681895093"/>
        </c:manualLayout>
      </c:layout>
      <c:lineChart>
        <c:ser>
          <c:idx val="0"/>
          <c:order val="0"/>
          <c:tx>
            <c:strRef>
              <c:f>'長期'!$V$1</c:f>
            </c:strRef>
          </c:tx>
          <c:spPr>
            <a:ln cmpd="sng" w="19050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2"/>
            <c:marker>
              <c:symbol val="none"/>
            </c:marker>
          </c:dPt>
          <c:dPt>
            <c:idx val="274"/>
            <c:marker>
              <c:symbol val="none"/>
            </c:marker>
          </c:dPt>
          <c:cat>
            <c:strRef>
              <c:f>'長期'!$T$2:$T$494</c:f>
            </c:strRef>
          </c:cat>
          <c:val>
            <c:numRef>
              <c:f>'長期'!$V$2:$V$494</c:f>
              <c:numCache/>
            </c:numRef>
          </c:val>
          <c:smooth val="1"/>
        </c:ser>
        <c:ser>
          <c:idx val="1"/>
          <c:order val="1"/>
          <c:tx>
            <c:strRef>
              <c:f>'長期'!$W$1</c:f>
            </c:strRef>
          </c:tx>
          <c:spPr>
            <a:ln cmpd="sng" w="19050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59"/>
            <c:marker>
              <c:symbol val="none"/>
            </c:marker>
          </c:dPt>
          <c:cat>
            <c:strRef>
              <c:f>'長期'!$T$2:$T$494</c:f>
            </c:strRef>
          </c:cat>
          <c:val>
            <c:numRef>
              <c:f>'長期'!$W$2:$W$494</c:f>
              <c:numCache/>
            </c:numRef>
          </c:val>
          <c:smooth val="1"/>
        </c:ser>
        <c:axId val="1062365744"/>
        <c:axId val="2138053308"/>
      </c:lineChart>
      <c:catAx>
        <c:axId val="106236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日付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138053308"/>
      </c:catAx>
      <c:valAx>
        <c:axId val="213805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062365744"/>
      </c:valAx>
    </c:plotArea>
    <c:legend>
      <c:legendPos val="t"/>
      <c:legendEntry>
        <c:idx val="0"/>
        <c:txPr>
          <a:bodyPr/>
          <a:lstStyle/>
          <a:p>
            <a:pPr lvl="0">
              <a:defRPr b="1" i="0"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サヤ</a:t>
            </a:r>
          </a:p>
        </c:rich>
      </c:tx>
      <c:overlay val="0"/>
    </c:title>
    <c:plotArea>
      <c:layout>
        <c:manualLayout>
          <c:xMode val="edge"/>
          <c:yMode val="edge"/>
          <c:x val="0.0811737804878049"/>
          <c:y val="0.104166666666667"/>
          <c:w val="0.893102134146341"/>
          <c:h val="0.615079365079365"/>
        </c:manualLayout>
      </c:layout>
      <c:barChart>
        <c:barDir val="col"/>
        <c:ser>
          <c:idx val="0"/>
          <c:order val="0"/>
          <c:tx>
            <c:v>サヤ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'短期'!$S$1:$S$65</c:f>
            </c:strRef>
          </c:cat>
          <c:val>
            <c:numRef>
              <c:f>'短期'!$T$1:$T$65</c:f>
              <c:numCache/>
            </c:numRef>
          </c:val>
        </c:ser>
        <c:axId val="621818701"/>
        <c:axId val="1792940094"/>
      </c:barChart>
      <c:catAx>
        <c:axId val="621818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92940094"/>
      </c:catAx>
      <c:valAx>
        <c:axId val="1792940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21818701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25日移動平均</a:t>
            </a:r>
          </a:p>
        </c:rich>
      </c:tx>
      <c:overlay val="0"/>
    </c:title>
    <c:plotArea>
      <c:layout>
        <c:manualLayout>
          <c:xMode val="edge"/>
          <c:yMode val="edge"/>
          <c:x val="0.0860029906203272"/>
          <c:y val="0.0334047649060885"/>
          <c:w val="0.888395486882052"/>
          <c:h val="0.810916425059876"/>
        </c:manualLayout>
      </c:layout>
      <c:lineChart>
        <c:ser>
          <c:idx val="0"/>
          <c:order val="0"/>
          <c:tx>
            <c:v>＋２σ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'ボリンジャーバンド'!$A$25:$A$494</c:f>
            </c:strRef>
          </c:cat>
          <c:val>
            <c:numRef>
              <c:f>'ボリンジャーバンド'!$B$25:$B$494</c:f>
              <c:numCache/>
            </c:numRef>
          </c:val>
          <c:smooth val="1"/>
        </c:ser>
        <c:ser>
          <c:idx val="1"/>
          <c:order val="1"/>
          <c:tx>
            <c:v>＋σ</c:v>
          </c:tx>
          <c:spPr>
            <a:ln cmpd="sng" w="19050">
              <a:solidFill>
                <a:srgbClr val="FFD966">
                  <a:alpha val="69019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'ボリンジャーバンド'!$A$25:$A$494</c:f>
            </c:strRef>
          </c:cat>
          <c:val>
            <c:numRef>
              <c:f>'ボリンジャーバンド'!$C$25:$C$494</c:f>
              <c:numCache/>
            </c:numRef>
          </c:val>
          <c:smooth val="1"/>
        </c:ser>
        <c:ser>
          <c:idx val="2"/>
          <c:order val="2"/>
          <c:tx>
            <c:v>サヤ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'ボリンジャーバンド'!$A$25:$A$494</c:f>
            </c:strRef>
          </c:cat>
          <c:val>
            <c:numRef>
              <c:f>'ボリンジャーバンド'!$D$25:$D$494</c:f>
              <c:numCache/>
            </c:numRef>
          </c:val>
          <c:smooth val="1"/>
        </c:ser>
        <c:ser>
          <c:idx val="3"/>
          <c:order val="3"/>
          <c:tx>
            <c:v>－σ</c:v>
          </c:tx>
          <c:spPr>
            <a:ln cmpd="sng" w="19050">
              <a:solidFill>
                <a:srgbClr val="FFD966">
                  <a:alpha val="69019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'ボリンジャーバンド'!$A$25:$A$494</c:f>
            </c:strRef>
          </c:cat>
          <c:val>
            <c:numRef>
              <c:f>'ボリンジャーバンド'!$E$25:$E$494</c:f>
              <c:numCache/>
            </c:numRef>
          </c:val>
          <c:smooth val="1"/>
        </c:ser>
        <c:ser>
          <c:idx val="4"/>
          <c:order val="4"/>
          <c:tx>
            <c:v>－２σ</c:v>
          </c:tx>
          <c:spPr>
            <a:ln cmpd="sng" w="19050">
              <a:solidFill>
                <a:srgbClr val="6D9EEB">
                  <a:alpha val="69019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'ボリンジャーバンド'!$A$25:$A$494</c:f>
            </c:strRef>
          </c:cat>
          <c:val>
            <c:numRef>
              <c:f>'ボリンジャーバンド'!$F$25:$F$494</c:f>
              <c:numCache/>
            </c:numRef>
          </c:val>
          <c:smooth val="1"/>
        </c:ser>
        <c:axId val="1712424317"/>
        <c:axId val="2110311382"/>
      </c:lineChart>
      <c:catAx>
        <c:axId val="1712424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110311382"/>
      </c:catAx>
      <c:valAx>
        <c:axId val="2110311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12424317"/>
      </c:valAx>
    </c:plotArea>
    <c:legend>
      <c:legendPos val="l"/>
      <c:overlay val="0"/>
      <c:txPr>
        <a:bodyPr/>
        <a:lstStyle/>
        <a:p>
          <a:pPr lvl="0">
            <a:defRPr b="0" i="0" sz="1000">
              <a:solidFill>
                <a:schemeClr val="dk1"/>
              </a:solidFill>
              <a:latin typeface="Arial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Chart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714375</xdr:colOff>
      <xdr:row>1</xdr:row>
      <xdr:rowOff>152400</xdr:rowOff>
    </xdr:from>
    <xdr:ext cx="3886200" cy="1190625"/>
    <xdr:sp>
      <xdr:nvSpPr>
        <xdr:cNvPr id="3" name="Shape 3"/>
        <xdr:cNvSpPr txBox="1"/>
      </xdr:nvSpPr>
      <xdr:spPr>
        <a:xfrm>
          <a:off x="3407663" y="3189450"/>
          <a:ext cx="3876675" cy="1181100"/>
        </a:xfrm>
        <a:prstGeom prst="rect">
          <a:avLst/>
        </a:prstGeom>
        <a:solidFill>
          <a:srgbClr val="D8E6FC"/>
        </a:solidFill>
        <a:ln cap="flat" cmpd="sng" w="9525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・相関係数のシートに2年間分のデータを添付する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・色付けしてある範囲のデータを埋めること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　　</a:t>
          </a:r>
          <a:endParaRPr sz="1100"/>
        </a:p>
      </xdr:txBody>
    </xdr:sp>
    <xdr:clientData fLocksWithSheet="0"/>
  </xdr:oneCellAnchor>
  <xdr:oneCellAnchor>
    <xdr:from>
      <xdr:col>4</xdr:col>
      <xdr:colOff>590550</xdr:colOff>
      <xdr:row>11</xdr:row>
      <xdr:rowOff>0</xdr:rowOff>
    </xdr:from>
    <xdr:ext cx="4895850" cy="96688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28575</xdr:rowOff>
    </xdr:from>
    <xdr:ext cx="8239125" cy="3743325"/>
    <xdr:graphicFrame>
      <xdr:nvGraphicFramePr>
        <xdr:cNvPr id="1850283156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16</xdr:row>
      <xdr:rowOff>200025</xdr:rowOff>
    </xdr:from>
    <xdr:ext cx="8239125" cy="3409950"/>
    <xdr:graphicFrame>
      <xdr:nvGraphicFramePr>
        <xdr:cNvPr id="679001776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0</xdr:row>
      <xdr:rowOff>142875</xdr:rowOff>
    </xdr:from>
    <xdr:ext cx="6648450" cy="3819525"/>
    <xdr:graphicFrame>
      <xdr:nvGraphicFramePr>
        <xdr:cNvPr id="970543738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17</xdr:row>
      <xdr:rowOff>133350</xdr:rowOff>
    </xdr:from>
    <xdr:ext cx="6648450" cy="3200400"/>
    <xdr:pic>
      <xdr:nvPicPr>
        <xdr:cNvPr id="799629801" name="Chart4" title="グラフ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723900</xdr:colOff>
      <xdr:row>8</xdr:row>
      <xdr:rowOff>142875</xdr:rowOff>
    </xdr:from>
    <xdr:ext cx="7248525" cy="38100"/>
    <xdr:grpSp>
      <xdr:nvGrpSpPr>
        <xdr:cNvPr id="2" name="Shape 2"/>
        <xdr:cNvGrpSpPr/>
      </xdr:nvGrpSpPr>
      <xdr:grpSpPr>
        <a:xfrm>
          <a:off x="1721738" y="3760950"/>
          <a:ext cx="7248525" cy="38100"/>
          <a:chOff x="1721738" y="3760950"/>
          <a:chExt cx="7248525" cy="38100"/>
        </a:xfrm>
      </xdr:grpSpPr>
      <xdr:grpSp>
        <xdr:nvGrpSpPr>
          <xdr:cNvPr id="4" name="Shape 4"/>
          <xdr:cNvGrpSpPr/>
        </xdr:nvGrpSpPr>
        <xdr:grpSpPr>
          <a:xfrm>
            <a:off x="1721738" y="3760950"/>
            <a:ext cx="7248525" cy="38100"/>
            <a:chOff x="1721738" y="3760950"/>
            <a:chExt cx="7248525" cy="38100"/>
          </a:xfrm>
        </xdr:grpSpPr>
        <xdr:sp>
          <xdr:nvSpPr>
            <xdr:cNvPr id="5" name="Shape 5"/>
            <xdr:cNvSpPr/>
          </xdr:nvSpPr>
          <xdr:spPr>
            <a:xfrm>
              <a:off x="1721738" y="3760950"/>
              <a:ext cx="72485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721738" y="3760950"/>
              <a:ext cx="7248525" cy="38100"/>
              <a:chOff x="1721738" y="3775238"/>
              <a:chExt cx="7248525" cy="9525"/>
            </a:xfrm>
          </xdr:grpSpPr>
          <xdr:sp>
            <xdr:nvSpPr>
              <xdr:cNvPr id="7" name="Shape 7"/>
              <xdr:cNvSpPr/>
            </xdr:nvSpPr>
            <xdr:spPr>
              <a:xfrm>
                <a:off x="1721738" y="3775238"/>
                <a:ext cx="7248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8" name="Shape 8"/>
              <xdr:cNvCxnSpPr/>
            </xdr:nvCxnSpPr>
            <xdr:spPr>
              <a:xfrm flipH="1">
                <a:off x="1721738" y="3775238"/>
                <a:ext cx="7248525" cy="9525"/>
              </a:xfrm>
              <a:prstGeom prst="straightConnector1">
                <a:avLst/>
              </a:prstGeom>
              <a:noFill/>
              <a:ln cap="flat" cmpd="sng" w="28575">
                <a:solidFill>
                  <a:srgbClr val="FFC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14001750" cy="5029200"/>
    <xdr:graphicFrame>
      <xdr:nvGraphicFramePr>
        <xdr:cNvPr id="791173209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3AE"/>
    <pageSetUpPr/>
  </sheetPr>
  <sheetViews>
    <sheetView workbookViewId="0"/>
  </sheetViews>
  <sheetFormatPr customHeight="1" defaultColWidth="14.43" defaultRowHeight="15.0" outlineLevelRow="1"/>
  <cols>
    <col customWidth="1" min="1" max="1" width="17.29"/>
    <col customWidth="1" min="2" max="3" width="10.0"/>
    <col customWidth="1" min="4" max="4" width="11.71"/>
    <col customWidth="1" min="5" max="5" width="10.0"/>
    <col customWidth="1" min="6" max="26" width="11.57"/>
  </cols>
  <sheetData>
    <row r="1" ht="36.0" customHeight="1">
      <c r="A1" s="1"/>
      <c r="B1" s="2" t="s">
        <v>0</v>
      </c>
      <c r="C1" s="2" t="s">
        <v>0</v>
      </c>
      <c r="D1" s="3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45495.0</v>
      </c>
      <c r="B2" s="1">
        <v>200.0</v>
      </c>
      <c r="C2" s="1">
        <v>100.0</v>
      </c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>
        <v>45492.0</v>
      </c>
      <c r="B3" s="1">
        <v>196.0</v>
      </c>
      <c r="C3" s="1">
        <v>145.0</v>
      </c>
      <c r="D3" s="7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>
        <v>45491.0</v>
      </c>
      <c r="B4" s="1">
        <v>200.0</v>
      </c>
      <c r="C4" s="1">
        <v>125.0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">
        <v>45490.0</v>
      </c>
      <c r="B5" s="1">
        <v>204.0</v>
      </c>
      <c r="C5" s="1">
        <v>129.0</v>
      </c>
      <c r="D5" s="8">
        <f>CORREL(B2:B65,C2:C65)</f>
        <v>-0.0948111808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5">
        <v>45489.0</v>
      </c>
      <c r="B6" s="1">
        <v>203.0</v>
      </c>
      <c r="C6" s="1">
        <v>102.0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5">
        <v>45485.0</v>
      </c>
      <c r="B7" s="1">
        <v>205.0</v>
      </c>
      <c r="C7" s="1">
        <v>93.0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5">
        <v>45484.0</v>
      </c>
      <c r="B8" s="1">
        <v>203.0</v>
      </c>
      <c r="C8" s="1">
        <v>95.0</v>
      </c>
      <c r="D8" s="7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5">
        <v>45483.0</v>
      </c>
      <c r="B9" s="1">
        <v>203.0</v>
      </c>
      <c r="C9" s="1">
        <v>88.0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5">
        <v>45482.0</v>
      </c>
      <c r="B10" s="1">
        <v>209.0</v>
      </c>
      <c r="C10" s="1">
        <v>87.0</v>
      </c>
      <c r="D10" s="8">
        <f t="array" ref="D10">CORREL(B2:B609,C2:C609)</f>
        <v>0.6624954915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5">
        <v>45481.0</v>
      </c>
      <c r="B11" s="1">
        <v>211.0</v>
      </c>
      <c r="C11" s="1">
        <v>80.0</v>
      </c>
      <c r="E11" s="1"/>
      <c r="F11" s="1"/>
      <c r="G11" s="1"/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5">
        <v>45478.0</v>
      </c>
      <c r="B12" s="1">
        <v>212.0</v>
      </c>
      <c r="C12" s="1">
        <v>80.0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hidden="1" customHeight="1" outlineLevel="1">
      <c r="A13" s="5">
        <v>45477.0</v>
      </c>
      <c r="B13" s="1">
        <v>209.0</v>
      </c>
      <c r="C13" s="1">
        <v>80.0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hidden="1" customHeight="1" outlineLevel="1">
      <c r="A14" s="5">
        <v>45476.0</v>
      </c>
      <c r="B14" s="1">
        <v>213.0</v>
      </c>
      <c r="C14" s="1">
        <v>85.0</v>
      </c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hidden="1" customHeight="1" outlineLevel="1">
      <c r="A15" s="5">
        <v>45475.0</v>
      </c>
      <c r="B15" s="1">
        <v>206.0</v>
      </c>
      <c r="C15" s="1">
        <v>90.0</v>
      </c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hidden="1" customHeight="1" outlineLevel="1">
      <c r="A16" s="5">
        <v>45474.0</v>
      </c>
      <c r="B16" s="1">
        <v>206.0</v>
      </c>
      <c r="C16" s="1">
        <v>100.0</v>
      </c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hidden="1" customHeight="1" outlineLevel="1">
      <c r="A17" s="5">
        <v>45471.0</v>
      </c>
      <c r="B17" s="1">
        <v>217.0</v>
      </c>
      <c r="C17" s="1">
        <v>99.0</v>
      </c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hidden="1" customHeight="1" outlineLevel="1">
      <c r="A18" s="5">
        <v>45470.0</v>
      </c>
      <c r="B18" s="1">
        <v>220.0</v>
      </c>
      <c r="C18" s="1">
        <v>103.0</v>
      </c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 outlineLevel="1">
      <c r="A19" s="5">
        <v>45469.0</v>
      </c>
      <c r="B19" s="1">
        <v>224.0</v>
      </c>
      <c r="C19" s="1">
        <v>100.0</v>
      </c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 outlineLevel="1">
      <c r="A20" s="5">
        <v>45468.0</v>
      </c>
      <c r="B20" s="1">
        <v>230.0</v>
      </c>
      <c r="C20" s="1">
        <v>95.0</v>
      </c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 outlineLevel="1">
      <c r="A21" s="5">
        <v>45467.0</v>
      </c>
      <c r="B21" s="1">
        <v>231.0</v>
      </c>
      <c r="C21" s="1">
        <v>95.0</v>
      </c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 outlineLevel="1">
      <c r="A22" s="5">
        <v>45464.0</v>
      </c>
      <c r="B22" s="1">
        <v>226.0</v>
      </c>
      <c r="C22" s="1">
        <v>87.0</v>
      </c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 outlineLevel="1">
      <c r="A23" s="5">
        <v>45463.0</v>
      </c>
      <c r="B23" s="1">
        <v>220.0</v>
      </c>
      <c r="C23" s="1">
        <v>81.0</v>
      </c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 outlineLevel="1">
      <c r="A24" s="5">
        <v>45462.0</v>
      </c>
      <c r="B24" s="1">
        <v>222.0</v>
      </c>
      <c r="C24" s="1">
        <v>83.0</v>
      </c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 outlineLevel="1">
      <c r="A25" s="5">
        <v>45461.0</v>
      </c>
      <c r="B25" s="1">
        <v>219.0</v>
      </c>
      <c r="C25" s="1">
        <v>84.0</v>
      </c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 outlineLevel="1">
      <c r="A26" s="5">
        <v>45460.0</v>
      </c>
      <c r="B26" s="1">
        <v>218.0</v>
      </c>
      <c r="C26" s="1">
        <v>89.0</v>
      </c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 outlineLevel="1">
      <c r="A27" s="5">
        <v>45457.0</v>
      </c>
      <c r="B27" s="1">
        <v>221.0</v>
      </c>
      <c r="C27" s="1">
        <v>90.0</v>
      </c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 outlineLevel="1">
      <c r="A28" s="5">
        <v>45456.0</v>
      </c>
      <c r="B28" s="1">
        <v>230.0</v>
      </c>
      <c r="C28" s="1">
        <v>95.0</v>
      </c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 outlineLevel="1">
      <c r="A29" s="5">
        <v>45455.0</v>
      </c>
      <c r="B29" s="1">
        <v>219.0</v>
      </c>
      <c r="C29" s="1">
        <v>107.0</v>
      </c>
      <c r="D29" s="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 outlineLevel="1">
      <c r="A30" s="5">
        <v>45454.0</v>
      </c>
      <c r="B30" s="1">
        <v>216.0</v>
      </c>
      <c r="C30" s="1">
        <v>89.0</v>
      </c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 outlineLevel="1">
      <c r="A31" s="5">
        <v>45453.0</v>
      </c>
      <c r="B31" s="1">
        <v>216.0</v>
      </c>
      <c r="C31" s="1">
        <v>81.0</v>
      </c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hidden="1" customHeight="1" outlineLevel="1">
      <c r="A32" s="5">
        <v>45450.0</v>
      </c>
      <c r="B32" s="1">
        <v>226.0</v>
      </c>
      <c r="C32" s="1">
        <v>85.0</v>
      </c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hidden="1" customHeight="1" outlineLevel="1">
      <c r="A33" s="5">
        <v>45449.0</v>
      </c>
      <c r="B33" s="1">
        <v>219.0</v>
      </c>
      <c r="C33" s="1">
        <v>78.0</v>
      </c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hidden="1" customHeight="1" outlineLevel="1">
      <c r="A34" s="5">
        <v>45448.0</v>
      </c>
      <c r="B34" s="1">
        <v>225.0</v>
      </c>
      <c r="C34" s="1">
        <v>84.0</v>
      </c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 outlineLevel="1">
      <c r="A35" s="5">
        <v>45447.0</v>
      </c>
      <c r="B35" s="1">
        <v>235.0</v>
      </c>
      <c r="C35" s="1">
        <v>66.0</v>
      </c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 outlineLevel="1">
      <c r="A36" s="5">
        <v>45446.0</v>
      </c>
      <c r="B36" s="1">
        <v>234.0</v>
      </c>
      <c r="C36" s="1">
        <v>62.0</v>
      </c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 outlineLevel="1">
      <c r="A37" s="5">
        <v>45443.0</v>
      </c>
      <c r="B37" s="1">
        <v>237.0</v>
      </c>
      <c r="C37" s="1">
        <v>52.0</v>
      </c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 outlineLevel="1">
      <c r="A38" s="5">
        <v>45442.0</v>
      </c>
      <c r="B38" s="1">
        <v>229.0</v>
      </c>
      <c r="C38" s="1">
        <v>55.0</v>
      </c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 outlineLevel="1">
      <c r="A39" s="5">
        <v>45441.0</v>
      </c>
      <c r="B39" s="1">
        <v>240.0</v>
      </c>
      <c r="C39" s="1">
        <v>56.0</v>
      </c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 outlineLevel="1">
      <c r="A40" s="5">
        <v>45440.0</v>
      </c>
      <c r="B40" s="1">
        <v>262.0</v>
      </c>
      <c r="C40" s="1">
        <v>62.0</v>
      </c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 outlineLevel="1">
      <c r="A41" s="5">
        <v>45439.0</v>
      </c>
      <c r="B41" s="1">
        <v>265.0</v>
      </c>
      <c r="C41" s="1">
        <v>67.0</v>
      </c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hidden="1" customHeight="1" outlineLevel="1">
      <c r="A42" s="5">
        <v>45436.0</v>
      </c>
      <c r="B42" s="1">
        <v>259.0</v>
      </c>
      <c r="C42" s="1">
        <v>57.0</v>
      </c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hidden="1" customHeight="1" outlineLevel="1">
      <c r="A43" s="5">
        <v>45435.0</v>
      </c>
      <c r="B43" s="1">
        <v>281.0</v>
      </c>
      <c r="C43" s="1">
        <v>76.0</v>
      </c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hidden="1" customHeight="1" outlineLevel="1">
      <c r="A44" s="5">
        <v>45434.0</v>
      </c>
      <c r="B44" s="1">
        <v>290.0</v>
      </c>
      <c r="C44" s="1">
        <v>90.0</v>
      </c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hidden="1" customHeight="1" outlineLevel="1">
      <c r="A45" s="5">
        <v>45433.0</v>
      </c>
      <c r="B45" s="1">
        <v>291.0</v>
      </c>
      <c r="C45" s="1">
        <v>60.0</v>
      </c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 outlineLevel="1">
      <c r="A46" s="5">
        <v>45432.0</v>
      </c>
      <c r="B46" s="1">
        <v>274.0</v>
      </c>
      <c r="C46" s="1">
        <v>41.0</v>
      </c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 outlineLevel="1">
      <c r="A47" s="5">
        <v>45429.0</v>
      </c>
      <c r="B47" s="1">
        <v>252.0</v>
      </c>
      <c r="C47" s="1">
        <v>35.0</v>
      </c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 outlineLevel="1">
      <c r="A48" s="5">
        <v>45428.0</v>
      </c>
      <c r="B48" s="1">
        <v>243.0</v>
      </c>
      <c r="C48" s="1">
        <v>35.0</v>
      </c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 outlineLevel="1">
      <c r="A49" s="5">
        <v>45427.0</v>
      </c>
      <c r="B49" s="1">
        <v>249.0</v>
      </c>
      <c r="C49" s="1">
        <v>33.0</v>
      </c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hidden="1" customHeight="1" outlineLevel="1">
      <c r="A50" s="5">
        <v>45426.0</v>
      </c>
      <c r="B50" s="1">
        <v>257.0</v>
      </c>
      <c r="C50" s="1">
        <v>31.0</v>
      </c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hidden="1" customHeight="1" outlineLevel="1">
      <c r="A51" s="5">
        <v>45425.0</v>
      </c>
      <c r="B51" s="1">
        <v>255.0</v>
      </c>
      <c r="C51" s="1">
        <v>30.0</v>
      </c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hidden="1" customHeight="1" outlineLevel="1">
      <c r="A52" s="5">
        <v>45422.0</v>
      </c>
      <c r="B52" s="1">
        <v>264.0</v>
      </c>
      <c r="C52" s="1">
        <v>30.0</v>
      </c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hidden="1" customHeight="1" outlineLevel="1">
      <c r="A53" s="5">
        <v>45421.0</v>
      </c>
      <c r="B53" s="1">
        <v>277.0</v>
      </c>
      <c r="C53" s="1">
        <v>29.0</v>
      </c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hidden="1" customHeight="1" outlineLevel="1">
      <c r="A54" s="5">
        <v>45420.0</v>
      </c>
      <c r="B54" s="1">
        <v>276.0</v>
      </c>
      <c r="C54" s="1">
        <v>30.0</v>
      </c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hidden="1" customHeight="1" outlineLevel="1">
      <c r="A55" s="5">
        <v>45419.0</v>
      </c>
      <c r="B55" s="1">
        <v>239.0</v>
      </c>
      <c r="C55" s="1">
        <v>29.0</v>
      </c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hidden="1" customHeight="1" outlineLevel="1">
      <c r="A56" s="5">
        <v>45414.0</v>
      </c>
      <c r="B56" s="1">
        <v>189.0</v>
      </c>
      <c r="C56" s="1">
        <v>28.0</v>
      </c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hidden="1" customHeight="1" outlineLevel="1">
      <c r="A57" s="5">
        <v>45413.0</v>
      </c>
      <c r="B57" s="1">
        <v>194.0</v>
      </c>
      <c r="C57" s="1">
        <v>29.0</v>
      </c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hidden="1" customHeight="1" outlineLevel="1">
      <c r="A58" s="5">
        <v>45412.0</v>
      </c>
      <c r="B58" s="1">
        <v>206.0</v>
      </c>
      <c r="C58" s="1">
        <v>29.0</v>
      </c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hidden="1" customHeight="1" outlineLevel="1">
      <c r="A59" s="5">
        <v>45408.0</v>
      </c>
      <c r="B59" s="1">
        <v>185.0</v>
      </c>
      <c r="C59" s="1">
        <v>29.0</v>
      </c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hidden="1" customHeight="1" outlineLevel="1">
      <c r="A60" s="5">
        <v>45407.0</v>
      </c>
      <c r="B60" s="1">
        <v>179.0</v>
      </c>
      <c r="C60" s="1">
        <v>28.0</v>
      </c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hidden="1" customHeight="1" outlineLevel="1">
      <c r="A61" s="5">
        <v>45406.0</v>
      </c>
      <c r="B61" s="1">
        <v>174.0</v>
      </c>
      <c r="C61" s="1">
        <v>32.0</v>
      </c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hidden="1" customHeight="1" outlineLevel="1">
      <c r="A62" s="5">
        <v>45405.0</v>
      </c>
      <c r="B62" s="1">
        <v>168.0</v>
      </c>
      <c r="C62" s="1">
        <v>34.0</v>
      </c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hidden="1" customHeight="1" outlineLevel="1">
      <c r="A63" s="5">
        <v>45404.0</v>
      </c>
      <c r="B63" s="1">
        <v>166.0</v>
      </c>
      <c r="C63" s="1">
        <v>31.0</v>
      </c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hidden="1" customHeight="1" outlineLevel="1">
      <c r="A64" s="5">
        <v>45401.0</v>
      </c>
      <c r="B64" s="1">
        <v>170.0</v>
      </c>
      <c r="C64" s="1">
        <v>30.0</v>
      </c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hidden="1" customHeight="1" outlineLevel="1">
      <c r="A65" s="5">
        <v>45400.0</v>
      </c>
      <c r="B65" s="1">
        <v>166.0</v>
      </c>
      <c r="C65" s="1">
        <v>28.0</v>
      </c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hidden="1" customHeight="1" outlineLevel="1">
      <c r="A66" s="5">
        <v>45399.0</v>
      </c>
      <c r="B66" s="1">
        <v>168.0</v>
      </c>
      <c r="C66" s="1">
        <v>27.0</v>
      </c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hidden="1" customHeight="1" outlineLevel="1">
      <c r="A67" s="5">
        <v>45398.0</v>
      </c>
      <c r="B67" s="1">
        <v>173.0</v>
      </c>
      <c r="C67" s="1">
        <v>27.0</v>
      </c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hidden="1" customHeight="1" outlineLevel="1">
      <c r="A68" s="5">
        <v>45397.0</v>
      </c>
      <c r="B68" s="1">
        <v>179.0</v>
      </c>
      <c r="C68" s="1">
        <v>30.0</v>
      </c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hidden="1" customHeight="1" outlineLevel="1">
      <c r="A69" s="5">
        <v>45394.0</v>
      </c>
      <c r="B69" s="1">
        <v>187.0</v>
      </c>
      <c r="C69" s="1">
        <v>34.0</v>
      </c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hidden="1" customHeight="1" outlineLevel="1">
      <c r="A70" s="5">
        <v>45393.0</v>
      </c>
      <c r="B70" s="1">
        <v>184.0</v>
      </c>
      <c r="C70" s="1">
        <v>36.0</v>
      </c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hidden="1" customHeight="1" outlineLevel="1">
      <c r="A71" s="5">
        <v>45392.0</v>
      </c>
      <c r="B71" s="1">
        <v>190.0</v>
      </c>
      <c r="C71" s="1">
        <v>32.0</v>
      </c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hidden="1" customHeight="1" outlineLevel="1">
      <c r="A72" s="5">
        <v>45391.0</v>
      </c>
      <c r="B72" s="1">
        <v>178.0</v>
      </c>
      <c r="C72" s="1">
        <v>36.0</v>
      </c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hidden="1" customHeight="1" outlineLevel="1">
      <c r="A73" s="5">
        <v>45390.0</v>
      </c>
      <c r="B73" s="1">
        <v>177.0</v>
      </c>
      <c r="C73" s="1">
        <v>19.0</v>
      </c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hidden="1" customHeight="1" outlineLevel="1">
      <c r="A74" s="5">
        <v>45387.0</v>
      </c>
      <c r="B74" s="1">
        <v>173.0</v>
      </c>
      <c r="C74" s="1">
        <v>19.0</v>
      </c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hidden="1" customHeight="1" outlineLevel="1">
      <c r="A75" s="5">
        <v>45386.0</v>
      </c>
      <c r="B75" s="1">
        <v>189.0</v>
      </c>
      <c r="C75" s="1">
        <v>19.0</v>
      </c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hidden="1" customHeight="1" outlineLevel="1">
      <c r="A76" s="5">
        <v>45385.0</v>
      </c>
      <c r="B76" s="1">
        <v>191.0</v>
      </c>
      <c r="C76" s="1">
        <v>20.0</v>
      </c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hidden="1" customHeight="1" outlineLevel="1">
      <c r="A77" s="5">
        <v>45384.0</v>
      </c>
      <c r="B77" s="1">
        <v>185.0</v>
      </c>
      <c r="C77" s="1">
        <v>20.0</v>
      </c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hidden="1" customHeight="1" outlineLevel="1">
      <c r="A78" s="5">
        <v>45383.0</v>
      </c>
      <c r="B78" s="1">
        <v>197.0</v>
      </c>
      <c r="C78" s="1">
        <v>19.0</v>
      </c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hidden="1" customHeight="1" outlineLevel="1">
      <c r="A79" s="5">
        <v>45380.0</v>
      </c>
      <c r="B79" s="1">
        <v>194.0</v>
      </c>
      <c r="C79" s="1">
        <v>20.0</v>
      </c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hidden="1" customHeight="1" outlineLevel="1">
      <c r="A80" s="5">
        <v>45379.0</v>
      </c>
      <c r="B80" s="1">
        <v>169.0</v>
      </c>
      <c r="C80" s="1">
        <v>19.0</v>
      </c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hidden="1" customHeight="1" outlineLevel="1">
      <c r="A81" s="5">
        <v>45378.0</v>
      </c>
      <c r="B81" s="1">
        <v>175.0</v>
      </c>
      <c r="C81" s="1">
        <v>20.0</v>
      </c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hidden="1" customHeight="1" outlineLevel="1">
      <c r="A82" s="5">
        <v>45377.0</v>
      </c>
      <c r="B82" s="1">
        <v>176.0</v>
      </c>
      <c r="C82" s="1">
        <v>21.0</v>
      </c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hidden="1" customHeight="1" outlineLevel="1">
      <c r="A83" s="5">
        <v>45376.0</v>
      </c>
      <c r="B83" s="1">
        <v>182.0</v>
      </c>
      <c r="C83" s="1">
        <v>21.0</v>
      </c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hidden="1" customHeight="1" outlineLevel="1">
      <c r="A84" s="5">
        <v>45373.0</v>
      </c>
      <c r="B84" s="1">
        <v>184.0</v>
      </c>
      <c r="C84" s="1">
        <v>21.0</v>
      </c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hidden="1" customHeight="1" outlineLevel="1">
      <c r="A85" s="5">
        <v>45372.0</v>
      </c>
      <c r="B85" s="1">
        <v>178.0</v>
      </c>
      <c r="C85" s="1">
        <v>21.0</v>
      </c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hidden="1" customHeight="1" outlineLevel="1">
      <c r="A86" s="5">
        <v>45370.0</v>
      </c>
      <c r="B86" s="1">
        <v>176.0</v>
      </c>
      <c r="C86" s="1">
        <v>20.0</v>
      </c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hidden="1" customHeight="1" outlineLevel="1">
      <c r="A87" s="5">
        <v>45369.0</v>
      </c>
      <c r="B87" s="1">
        <v>179.0</v>
      </c>
      <c r="C87" s="1">
        <v>21.0</v>
      </c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hidden="1" customHeight="1" outlineLevel="1">
      <c r="A88" s="5">
        <v>45366.0</v>
      </c>
      <c r="B88" s="1">
        <v>172.0</v>
      </c>
      <c r="C88" s="1">
        <v>20.0</v>
      </c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hidden="1" customHeight="1" outlineLevel="1">
      <c r="A89" s="5">
        <v>45365.0</v>
      </c>
      <c r="B89" s="1">
        <v>175.0</v>
      </c>
      <c r="C89" s="1">
        <v>19.0</v>
      </c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hidden="1" customHeight="1" outlineLevel="1">
      <c r="A90" s="5">
        <v>45364.0</v>
      </c>
      <c r="B90" s="1">
        <v>178.0</v>
      </c>
      <c r="C90" s="1">
        <v>20.0</v>
      </c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hidden="1" customHeight="1" outlineLevel="1">
      <c r="A91" s="5">
        <v>45363.0</v>
      </c>
      <c r="B91" s="1">
        <v>192.0</v>
      </c>
      <c r="C91" s="1">
        <v>20.0</v>
      </c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hidden="1" customHeight="1" outlineLevel="1">
      <c r="A92" s="5">
        <v>45362.0</v>
      </c>
      <c r="B92" s="1">
        <v>184.0</v>
      </c>
      <c r="C92" s="1">
        <v>20.0</v>
      </c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hidden="1" customHeight="1" outlineLevel="1">
      <c r="A93" s="5">
        <v>45359.0</v>
      </c>
      <c r="B93" s="1">
        <v>186.0</v>
      </c>
      <c r="C93" s="1">
        <v>19.0</v>
      </c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hidden="1" customHeight="1" outlineLevel="1">
      <c r="A94" s="5">
        <v>45358.0</v>
      </c>
      <c r="B94" s="1">
        <v>241.0</v>
      </c>
      <c r="C94" s="1">
        <v>20.0</v>
      </c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hidden="1" customHeight="1" outlineLevel="1">
      <c r="A95" s="5">
        <v>45357.0</v>
      </c>
      <c r="B95" s="1">
        <v>191.0</v>
      </c>
      <c r="C95" s="1">
        <v>21.0</v>
      </c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hidden="1" customHeight="1" outlineLevel="1">
      <c r="A96" s="5">
        <v>45356.0</v>
      </c>
      <c r="B96" s="1">
        <v>175.0</v>
      </c>
      <c r="C96" s="1">
        <v>22.0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hidden="1" customHeight="1" outlineLevel="1">
      <c r="A97" s="5">
        <v>45355.0</v>
      </c>
      <c r="B97" s="1">
        <v>158.0</v>
      </c>
      <c r="C97" s="1">
        <v>21.0</v>
      </c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hidden="1" customHeight="1" outlineLevel="1">
      <c r="A98" s="5">
        <v>45352.0</v>
      </c>
      <c r="B98" s="1">
        <v>156.0</v>
      </c>
      <c r="C98" s="1">
        <v>21.0</v>
      </c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hidden="1" customHeight="1" outlineLevel="1">
      <c r="A99" s="5">
        <v>45351.0</v>
      </c>
      <c r="B99" s="1">
        <v>157.0</v>
      </c>
      <c r="C99" s="1">
        <v>22.0</v>
      </c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hidden="1" customHeight="1" outlineLevel="1">
      <c r="A100" s="5">
        <v>45350.0</v>
      </c>
      <c r="B100" s="1">
        <v>162.0</v>
      </c>
      <c r="C100" s="1">
        <v>19.0</v>
      </c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hidden="1" customHeight="1" outlineLevel="1">
      <c r="A101" s="5">
        <v>45349.0</v>
      </c>
      <c r="B101" s="1">
        <v>163.0</v>
      </c>
      <c r="C101" s="1">
        <v>18.0</v>
      </c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hidden="1" customHeight="1" outlineLevel="1">
      <c r="A102" s="5">
        <v>45348.0</v>
      </c>
      <c r="B102" s="1">
        <v>163.0</v>
      </c>
      <c r="C102" s="1">
        <v>17.0</v>
      </c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hidden="1" customHeight="1" outlineLevel="1">
      <c r="A103" s="5">
        <v>45344.0</v>
      </c>
      <c r="B103" s="1">
        <v>154.0</v>
      </c>
      <c r="C103" s="1">
        <v>17.0</v>
      </c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hidden="1" customHeight="1" outlineLevel="1">
      <c r="A104" s="5">
        <v>45343.0</v>
      </c>
      <c r="B104" s="1">
        <v>159.0</v>
      </c>
      <c r="C104" s="1">
        <v>18.0</v>
      </c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hidden="1" customHeight="1" outlineLevel="1">
      <c r="A105" s="5">
        <v>45342.0</v>
      </c>
      <c r="B105" s="1">
        <v>170.0</v>
      </c>
      <c r="C105" s="1">
        <v>16.0</v>
      </c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hidden="1" customHeight="1" outlineLevel="1">
      <c r="A106" s="5">
        <v>45341.0</v>
      </c>
      <c r="B106" s="1">
        <v>176.0</v>
      </c>
      <c r="C106" s="1">
        <v>15.0</v>
      </c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hidden="1" customHeight="1" outlineLevel="1">
      <c r="A107" s="5">
        <v>45338.0</v>
      </c>
      <c r="B107" s="1">
        <v>169.0</v>
      </c>
      <c r="C107" s="1">
        <v>16.0</v>
      </c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hidden="1" customHeight="1" outlineLevel="1">
      <c r="A108" s="5">
        <v>45337.0</v>
      </c>
      <c r="B108" s="1">
        <v>163.0</v>
      </c>
      <c r="C108" s="1">
        <v>15.0</v>
      </c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hidden="1" customHeight="1" outlineLevel="1">
      <c r="A109" s="5">
        <v>45336.0</v>
      </c>
      <c r="B109" s="1">
        <v>174.0</v>
      </c>
      <c r="C109" s="1">
        <v>15.0</v>
      </c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hidden="1" customHeight="1" outlineLevel="1">
      <c r="A110" s="5">
        <v>45335.0</v>
      </c>
      <c r="B110" s="1">
        <v>147.0</v>
      </c>
      <c r="C110" s="1">
        <v>16.0</v>
      </c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hidden="1" customHeight="1" outlineLevel="1">
      <c r="A111" s="5">
        <v>45331.0</v>
      </c>
      <c r="B111" s="1">
        <v>124.0</v>
      </c>
      <c r="C111" s="1">
        <v>16.0</v>
      </c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hidden="1" customHeight="1" outlineLevel="1">
      <c r="A112" s="5">
        <v>45330.0</v>
      </c>
      <c r="B112" s="1">
        <v>126.0</v>
      </c>
      <c r="C112" s="1">
        <v>16.0</v>
      </c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hidden="1" customHeight="1" outlineLevel="1">
      <c r="A113" s="5">
        <v>45329.0</v>
      </c>
      <c r="B113" s="1">
        <v>126.0</v>
      </c>
      <c r="C113" s="1">
        <v>16.0</v>
      </c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hidden="1" customHeight="1" outlineLevel="1">
      <c r="A114" s="5">
        <v>45328.0</v>
      </c>
      <c r="B114" s="1">
        <v>127.0</v>
      </c>
      <c r="C114" s="1">
        <v>17.0</v>
      </c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hidden="1" customHeight="1" outlineLevel="1">
      <c r="A115" s="5">
        <v>45327.0</v>
      </c>
      <c r="B115" s="1">
        <v>131.0</v>
      </c>
      <c r="C115" s="1">
        <v>17.0</v>
      </c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hidden="1" customHeight="1" outlineLevel="1">
      <c r="A116" s="5">
        <v>45324.0</v>
      </c>
      <c r="B116" s="1">
        <v>133.0</v>
      </c>
      <c r="C116" s="1">
        <v>17.0</v>
      </c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hidden="1" customHeight="1" outlineLevel="1">
      <c r="A117" s="5">
        <v>45323.0</v>
      </c>
      <c r="B117" s="1">
        <v>132.0</v>
      </c>
      <c r="C117" s="1">
        <v>17.0</v>
      </c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hidden="1" customHeight="1" outlineLevel="1">
      <c r="A118" s="5">
        <v>45322.0</v>
      </c>
      <c r="B118" s="1">
        <v>134.0</v>
      </c>
      <c r="C118" s="1">
        <v>18.0</v>
      </c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hidden="1" customHeight="1" outlineLevel="1">
      <c r="A119" s="5">
        <v>45321.0</v>
      </c>
      <c r="B119" s="1">
        <v>136.0</v>
      </c>
      <c r="C119" s="1">
        <v>17.0</v>
      </c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hidden="1" customHeight="1" outlineLevel="1">
      <c r="A120" s="5">
        <v>45320.0</v>
      </c>
      <c r="B120" s="1">
        <v>139.0</v>
      </c>
      <c r="C120" s="1">
        <v>17.0</v>
      </c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hidden="1" customHeight="1" outlineLevel="1">
      <c r="A121" s="5">
        <v>45317.0</v>
      </c>
      <c r="B121" s="1">
        <v>140.0</v>
      </c>
      <c r="C121" s="1">
        <v>18.0</v>
      </c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hidden="1" customHeight="1" outlineLevel="1">
      <c r="A122" s="5">
        <v>45316.0</v>
      </c>
      <c r="B122" s="1">
        <v>143.0</v>
      </c>
      <c r="C122" s="1">
        <v>17.0</v>
      </c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hidden="1" customHeight="1" outlineLevel="1">
      <c r="A123" s="5">
        <v>45315.0</v>
      </c>
      <c r="B123" s="1">
        <v>146.0</v>
      </c>
      <c r="C123" s="1">
        <v>18.0</v>
      </c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hidden="1" customHeight="1" outlineLevel="1">
      <c r="A124" s="5">
        <v>45314.0</v>
      </c>
      <c r="B124" s="1">
        <v>153.0</v>
      </c>
      <c r="C124" s="1">
        <v>17.0</v>
      </c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hidden="1" customHeight="1" outlineLevel="1">
      <c r="A125" s="5">
        <v>45313.0</v>
      </c>
      <c r="B125" s="1">
        <v>146.0</v>
      </c>
      <c r="C125" s="1">
        <v>17.0</v>
      </c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hidden="1" customHeight="1" outlineLevel="1">
      <c r="A126" s="5">
        <v>45310.0</v>
      </c>
      <c r="B126" s="1">
        <v>140.0</v>
      </c>
      <c r="C126" s="1">
        <v>17.0</v>
      </c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hidden="1" customHeight="1" outlineLevel="1">
      <c r="A127" s="5">
        <v>45309.0</v>
      </c>
      <c r="B127" s="1">
        <v>134.0</v>
      </c>
      <c r="C127" s="1">
        <v>17.0</v>
      </c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hidden="1" customHeight="1" outlineLevel="1">
      <c r="A128" s="5">
        <v>45308.0</v>
      </c>
      <c r="B128" s="1">
        <v>132.0</v>
      </c>
      <c r="C128" s="1">
        <v>17.0</v>
      </c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hidden="1" customHeight="1" outlineLevel="1">
      <c r="A129" s="5">
        <v>45307.0</v>
      </c>
      <c r="B129" s="1">
        <v>130.0</v>
      </c>
      <c r="C129" s="1">
        <v>18.0</v>
      </c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hidden="1" customHeight="1" outlineLevel="1">
      <c r="A130" s="5">
        <v>45306.0</v>
      </c>
      <c r="B130" s="1">
        <v>132.0</v>
      </c>
      <c r="C130" s="1">
        <v>17.0</v>
      </c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hidden="1" customHeight="1" outlineLevel="1">
      <c r="A131" s="5">
        <v>45303.0</v>
      </c>
      <c r="B131" s="1">
        <v>129.0</v>
      </c>
      <c r="C131" s="1">
        <v>19.0</v>
      </c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hidden="1" customHeight="1" outlineLevel="1">
      <c r="A132" s="5">
        <v>45302.0</v>
      </c>
      <c r="B132" s="1">
        <v>130.0</v>
      </c>
      <c r="C132" s="1">
        <v>17.0</v>
      </c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hidden="1" customHeight="1" outlineLevel="1">
      <c r="A133" s="5">
        <v>45301.0</v>
      </c>
      <c r="B133" s="1">
        <v>130.0</v>
      </c>
      <c r="C133" s="1">
        <v>17.0</v>
      </c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hidden="1" customHeight="1" outlineLevel="1">
      <c r="A134" s="5">
        <v>45300.0</v>
      </c>
      <c r="B134" s="1">
        <v>131.0</v>
      </c>
      <c r="C134" s="1">
        <v>17.0</v>
      </c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hidden="1" customHeight="1" outlineLevel="1">
      <c r="A135" s="5">
        <v>45296.0</v>
      </c>
      <c r="B135" s="1">
        <v>127.0</v>
      </c>
      <c r="C135" s="1">
        <v>17.0</v>
      </c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hidden="1" customHeight="1" outlineLevel="1">
      <c r="A136" s="5">
        <v>45295.0</v>
      </c>
      <c r="B136" s="1">
        <v>130.0</v>
      </c>
      <c r="C136" s="1">
        <v>16.0</v>
      </c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hidden="1" customHeight="1" outlineLevel="1">
      <c r="A137" s="5">
        <v>45289.0</v>
      </c>
      <c r="B137" s="1">
        <v>130.0</v>
      </c>
      <c r="C137" s="1">
        <v>17.0</v>
      </c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hidden="1" customHeight="1" outlineLevel="1">
      <c r="A138" s="5">
        <v>45288.0</v>
      </c>
      <c r="B138" s="1">
        <v>128.0</v>
      </c>
      <c r="C138" s="1">
        <v>16.0</v>
      </c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 outlineLevel="1">
      <c r="A139" s="5">
        <v>45287.0</v>
      </c>
      <c r="B139" s="1">
        <v>126.0</v>
      </c>
      <c r="C139" s="1">
        <v>15.0</v>
      </c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hidden="1" customHeight="1" outlineLevel="1">
      <c r="A140" s="5">
        <v>45286.0</v>
      </c>
      <c r="B140" s="1">
        <v>121.0</v>
      </c>
      <c r="C140" s="1">
        <v>15.0</v>
      </c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hidden="1" customHeight="1" outlineLevel="1">
      <c r="A141" s="5">
        <v>45285.0</v>
      </c>
      <c r="B141" s="1">
        <v>124.0</v>
      </c>
      <c r="C141" s="1">
        <v>14.0</v>
      </c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hidden="1" customHeight="1" outlineLevel="1">
      <c r="A142" s="5">
        <v>45282.0</v>
      </c>
      <c r="B142" s="1">
        <v>122.0</v>
      </c>
      <c r="C142" s="1">
        <v>15.0</v>
      </c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hidden="1" customHeight="1" outlineLevel="1">
      <c r="A143" s="5">
        <v>45281.0</v>
      </c>
      <c r="B143" s="1">
        <v>126.0</v>
      </c>
      <c r="C143" s="1">
        <v>15.0</v>
      </c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hidden="1" customHeight="1" outlineLevel="1">
      <c r="A144" s="5">
        <v>45280.0</v>
      </c>
      <c r="B144" s="1">
        <v>128.0</v>
      </c>
      <c r="C144" s="1">
        <v>16.0</v>
      </c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hidden="1" customHeight="1" outlineLevel="1">
      <c r="A145" s="5">
        <v>45279.0</v>
      </c>
      <c r="B145" s="1">
        <v>129.0</v>
      </c>
      <c r="C145" s="1">
        <v>14.0</v>
      </c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hidden="1" customHeight="1" outlineLevel="1">
      <c r="A146" s="5">
        <v>45278.0</v>
      </c>
      <c r="B146" s="1">
        <v>129.0</v>
      </c>
      <c r="C146" s="1">
        <v>14.0</v>
      </c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hidden="1" customHeight="1" outlineLevel="1">
      <c r="A147" s="5">
        <v>45275.0</v>
      </c>
      <c r="B147" s="1">
        <v>129.0</v>
      </c>
      <c r="C147" s="1">
        <v>15.0</v>
      </c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hidden="1" customHeight="1" outlineLevel="1">
      <c r="A148" s="5">
        <v>45274.0</v>
      </c>
      <c r="B148" s="1">
        <v>126.0</v>
      </c>
      <c r="C148" s="1">
        <v>14.0</v>
      </c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hidden="1" customHeight="1" outlineLevel="1">
      <c r="A149" s="5">
        <v>45273.0</v>
      </c>
      <c r="B149" s="1">
        <v>134.0</v>
      </c>
      <c r="C149" s="1">
        <v>15.0</v>
      </c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hidden="1" customHeight="1" outlineLevel="1">
      <c r="A150" s="5">
        <v>45272.0</v>
      </c>
      <c r="B150" s="1">
        <v>131.0</v>
      </c>
      <c r="C150" s="1">
        <v>15.0</v>
      </c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hidden="1" customHeight="1" outlineLevel="1">
      <c r="A151" s="5">
        <v>45271.0</v>
      </c>
      <c r="B151" s="1">
        <v>138.0</v>
      </c>
      <c r="C151" s="1">
        <v>15.0</v>
      </c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hidden="1" customHeight="1" outlineLevel="1">
      <c r="A152" s="5">
        <v>45268.0</v>
      </c>
      <c r="B152" s="1">
        <v>137.0</v>
      </c>
      <c r="C152" s="1">
        <v>16.0</v>
      </c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hidden="1" customHeight="1" outlineLevel="1">
      <c r="A153" s="5">
        <v>45267.0</v>
      </c>
      <c r="B153" s="1">
        <v>135.0</v>
      </c>
      <c r="C153" s="1">
        <v>15.0</v>
      </c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hidden="1" customHeight="1" outlineLevel="1">
      <c r="A154" s="5">
        <v>45266.0</v>
      </c>
      <c r="B154" s="1">
        <v>139.0</v>
      </c>
      <c r="C154" s="1">
        <v>15.0</v>
      </c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hidden="1" customHeight="1" outlineLevel="1">
      <c r="A155" s="5">
        <v>45265.0</v>
      </c>
      <c r="B155" s="1">
        <v>136.0</v>
      </c>
      <c r="C155" s="1">
        <v>16.0</v>
      </c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hidden="1" customHeight="1" outlineLevel="1">
      <c r="A156" s="5">
        <v>45264.0</v>
      </c>
      <c r="B156" s="1">
        <v>139.0</v>
      </c>
      <c r="C156" s="1">
        <v>16.0</v>
      </c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hidden="1" customHeight="1" outlineLevel="1">
      <c r="A157" s="5">
        <v>45261.0</v>
      </c>
      <c r="B157" s="1">
        <v>131.0</v>
      </c>
      <c r="C157" s="1">
        <v>17.0</v>
      </c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hidden="1" customHeight="1" outlineLevel="1">
      <c r="A158" s="5">
        <v>45260.0</v>
      </c>
      <c r="B158" s="1">
        <v>136.0</v>
      </c>
      <c r="C158" s="1">
        <v>16.0</v>
      </c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hidden="1" customHeight="1" outlineLevel="1">
      <c r="A159" s="5">
        <v>45259.0</v>
      </c>
      <c r="B159" s="1">
        <v>168.0</v>
      </c>
      <c r="C159" s="1">
        <v>16.0</v>
      </c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hidden="1" customHeight="1" outlineLevel="1">
      <c r="A160" s="5">
        <v>45258.0</v>
      </c>
      <c r="B160" s="1">
        <v>127.0</v>
      </c>
      <c r="C160" s="1">
        <v>16.0</v>
      </c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hidden="1" customHeight="1" outlineLevel="1">
      <c r="A161" s="5">
        <v>45257.0</v>
      </c>
      <c r="B161" s="1">
        <v>121.0</v>
      </c>
      <c r="C161" s="1">
        <v>17.0</v>
      </c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hidden="1" customHeight="1" outlineLevel="1">
      <c r="A162" s="5">
        <v>45254.0</v>
      </c>
      <c r="B162" s="1">
        <v>120.0</v>
      </c>
      <c r="C162" s="1">
        <v>17.0</v>
      </c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hidden="1" customHeight="1" outlineLevel="1">
      <c r="A163" s="5">
        <v>45252.0</v>
      </c>
      <c r="B163" s="1">
        <v>121.0</v>
      </c>
      <c r="C163" s="1">
        <v>16.0</v>
      </c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hidden="1" customHeight="1" outlineLevel="1">
      <c r="A164" s="5">
        <v>45251.0</v>
      </c>
      <c r="B164" s="1">
        <v>120.0</v>
      </c>
      <c r="C164" s="1">
        <v>17.0</v>
      </c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hidden="1" customHeight="1" outlineLevel="1">
      <c r="A165" s="5">
        <v>45250.0</v>
      </c>
      <c r="B165" s="1">
        <v>122.0</v>
      </c>
      <c r="C165" s="1">
        <v>18.0</v>
      </c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hidden="1" customHeight="1" outlineLevel="1">
      <c r="A166" s="5">
        <v>45247.0</v>
      </c>
      <c r="B166" s="1">
        <v>116.0</v>
      </c>
      <c r="C166" s="1">
        <v>18.0</v>
      </c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hidden="1" customHeight="1" outlineLevel="1">
      <c r="A167" s="5">
        <v>45246.0</v>
      </c>
      <c r="B167" s="1">
        <v>117.0</v>
      </c>
      <c r="C167" s="1">
        <v>17.0</v>
      </c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hidden="1" customHeight="1" outlineLevel="1">
      <c r="A168" s="5">
        <v>45245.0</v>
      </c>
      <c r="B168" s="1">
        <v>121.0</v>
      </c>
      <c r="C168" s="1">
        <v>18.0</v>
      </c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hidden="1" customHeight="1" outlineLevel="1">
      <c r="A169" s="5">
        <v>45244.0</v>
      </c>
      <c r="B169" s="1">
        <v>120.0</v>
      </c>
      <c r="C169" s="1">
        <v>19.0</v>
      </c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hidden="1" customHeight="1" outlineLevel="1">
      <c r="A170" s="5">
        <v>45243.0</v>
      </c>
      <c r="B170" s="1">
        <v>123.0</v>
      </c>
      <c r="C170" s="1">
        <v>19.0</v>
      </c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hidden="1" customHeight="1" outlineLevel="1">
      <c r="A171" s="5">
        <v>45240.0</v>
      </c>
      <c r="B171" s="1">
        <v>125.0</v>
      </c>
      <c r="C171" s="1">
        <v>19.0</v>
      </c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hidden="1" customHeight="1" outlineLevel="1">
      <c r="A172" s="5">
        <v>45239.0</v>
      </c>
      <c r="B172" s="1">
        <v>127.0</v>
      </c>
      <c r="C172" s="1">
        <v>19.0</v>
      </c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hidden="1" customHeight="1" outlineLevel="1">
      <c r="A173" s="5">
        <v>45238.0</v>
      </c>
      <c r="B173" s="1">
        <v>127.0</v>
      </c>
      <c r="C173" s="1">
        <v>18.0</v>
      </c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hidden="1" customHeight="1" outlineLevel="1">
      <c r="A174" s="5">
        <v>45237.0</v>
      </c>
      <c r="B174" s="1">
        <v>128.0</v>
      </c>
      <c r="C174" s="1">
        <v>18.0</v>
      </c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hidden="1" customHeight="1" outlineLevel="1">
      <c r="A175" s="5">
        <v>45236.0</v>
      </c>
      <c r="B175" s="1">
        <v>130.0</v>
      </c>
      <c r="C175" s="1">
        <v>19.0</v>
      </c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hidden="1" customHeight="1" outlineLevel="1">
      <c r="A176" s="5">
        <v>45232.0</v>
      </c>
      <c r="B176" s="1">
        <v>131.0</v>
      </c>
      <c r="C176" s="1">
        <v>19.0</v>
      </c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hidden="1" customHeight="1" outlineLevel="1">
      <c r="A177" s="5">
        <v>45231.0</v>
      </c>
      <c r="B177" s="1">
        <v>129.0</v>
      </c>
      <c r="C177" s="1">
        <v>18.0</v>
      </c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hidden="1" customHeight="1" outlineLevel="1">
      <c r="A178" s="5">
        <v>45230.0</v>
      </c>
      <c r="B178" s="1">
        <v>129.0</v>
      </c>
      <c r="C178" s="1">
        <v>18.0</v>
      </c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hidden="1" customHeight="1" outlineLevel="1">
      <c r="A179" s="5">
        <v>45229.0</v>
      </c>
      <c r="B179" s="1">
        <v>126.0</v>
      </c>
      <c r="C179" s="1">
        <v>19.0</v>
      </c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hidden="1" customHeight="1" outlineLevel="1">
      <c r="A180" s="5">
        <v>45226.0</v>
      </c>
      <c r="B180" s="1">
        <v>129.0</v>
      </c>
      <c r="C180" s="1">
        <v>18.0</v>
      </c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hidden="1" customHeight="1" outlineLevel="1">
      <c r="A181" s="5">
        <v>45225.0</v>
      </c>
      <c r="B181" s="1">
        <v>129.0</v>
      </c>
      <c r="C181" s="1">
        <v>19.0</v>
      </c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hidden="1" customHeight="1" outlineLevel="1">
      <c r="A182" s="5">
        <v>45224.0</v>
      </c>
      <c r="B182" s="1">
        <v>130.0</v>
      </c>
      <c r="C182" s="1">
        <v>19.0</v>
      </c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hidden="1" customHeight="1" outlineLevel="1">
      <c r="A183" s="5">
        <v>45223.0</v>
      </c>
      <c r="B183" s="1">
        <v>130.0</v>
      </c>
      <c r="C183" s="1">
        <v>18.0</v>
      </c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hidden="1" customHeight="1" outlineLevel="1">
      <c r="A184" s="5">
        <v>45222.0</v>
      </c>
      <c r="B184" s="1">
        <v>129.0</v>
      </c>
      <c r="C184" s="1">
        <v>19.0</v>
      </c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hidden="1" customHeight="1" outlineLevel="1">
      <c r="A185" s="5">
        <v>45219.0</v>
      </c>
      <c r="B185" s="1">
        <v>133.0</v>
      </c>
      <c r="C185" s="1">
        <v>19.0</v>
      </c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hidden="1" customHeight="1" outlineLevel="1">
      <c r="A186" s="5">
        <v>45218.0</v>
      </c>
      <c r="B186" s="1">
        <v>134.0</v>
      </c>
      <c r="C186" s="1">
        <v>19.0</v>
      </c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hidden="1" customHeight="1" outlineLevel="1">
      <c r="A187" s="5">
        <v>45217.0</v>
      </c>
      <c r="B187" s="1">
        <v>133.0</v>
      </c>
      <c r="C187" s="1">
        <v>19.0</v>
      </c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hidden="1" customHeight="1" outlineLevel="1">
      <c r="A188" s="5">
        <v>45216.0</v>
      </c>
      <c r="B188" s="1">
        <v>132.0</v>
      </c>
      <c r="C188" s="1">
        <v>20.0</v>
      </c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hidden="1" customHeight="1" outlineLevel="1">
      <c r="A189" s="5">
        <v>45215.0</v>
      </c>
      <c r="B189" s="1">
        <v>132.0</v>
      </c>
      <c r="C189" s="1">
        <v>19.0</v>
      </c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hidden="1" customHeight="1" outlineLevel="1">
      <c r="A190" s="5">
        <v>45212.0</v>
      </c>
      <c r="B190" s="1">
        <v>134.0</v>
      </c>
      <c r="C190" s="1">
        <v>19.0</v>
      </c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hidden="1" customHeight="1" outlineLevel="1">
      <c r="A191" s="5">
        <v>45211.0</v>
      </c>
      <c r="B191" s="1">
        <v>135.0</v>
      </c>
      <c r="C191" s="1">
        <v>19.0</v>
      </c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hidden="1" customHeight="1" outlineLevel="1">
      <c r="A192" s="5">
        <v>45210.0</v>
      </c>
      <c r="B192" s="1">
        <v>138.0</v>
      </c>
      <c r="C192" s="1">
        <v>19.0</v>
      </c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hidden="1" customHeight="1" outlineLevel="1">
      <c r="A193" s="5">
        <v>45209.0</v>
      </c>
      <c r="B193" s="1">
        <v>138.0</v>
      </c>
      <c r="C193" s="1">
        <v>19.0</v>
      </c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hidden="1" customHeight="1" outlineLevel="1">
      <c r="A194" s="5">
        <v>45205.0</v>
      </c>
      <c r="B194" s="1">
        <v>136.0</v>
      </c>
      <c r="C194" s="1">
        <v>19.0</v>
      </c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hidden="1" customHeight="1" outlineLevel="1">
      <c r="A195" s="5">
        <v>45204.0</v>
      </c>
      <c r="B195" s="1">
        <v>135.0</v>
      </c>
      <c r="C195" s="1">
        <v>20.0</v>
      </c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hidden="1" customHeight="1" outlineLevel="1">
      <c r="A196" s="5">
        <v>45203.0</v>
      </c>
      <c r="B196" s="1">
        <v>133.0</v>
      </c>
      <c r="C196" s="1">
        <v>19.0</v>
      </c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hidden="1" customHeight="1" outlineLevel="1">
      <c r="A197" s="5">
        <v>45202.0</v>
      </c>
      <c r="B197" s="1">
        <v>136.0</v>
      </c>
      <c r="C197" s="1">
        <v>19.0</v>
      </c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hidden="1" customHeight="1" outlineLevel="1">
      <c r="A198" s="5">
        <v>45201.0</v>
      </c>
      <c r="B198" s="1">
        <v>138.0</v>
      </c>
      <c r="C198" s="1">
        <v>19.0</v>
      </c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hidden="1" customHeight="1" outlineLevel="1">
      <c r="A199" s="5">
        <v>45198.0</v>
      </c>
      <c r="B199" s="1">
        <v>142.0</v>
      </c>
      <c r="C199" s="1">
        <v>19.0</v>
      </c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hidden="1" customHeight="1" outlineLevel="1">
      <c r="A200" s="5">
        <v>45197.0</v>
      </c>
      <c r="B200" s="1">
        <v>142.0</v>
      </c>
      <c r="C200" s="1">
        <v>19.0</v>
      </c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hidden="1" customHeight="1" outlineLevel="1">
      <c r="A201" s="5">
        <v>45196.0</v>
      </c>
      <c r="B201" s="1">
        <v>142.0</v>
      </c>
      <c r="C201" s="1">
        <v>19.0</v>
      </c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hidden="1" customHeight="1" outlineLevel="1">
      <c r="A202" s="5">
        <v>45195.0</v>
      </c>
      <c r="B202" s="1">
        <v>142.0</v>
      </c>
      <c r="C202" s="1">
        <v>20.0</v>
      </c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hidden="1" customHeight="1" outlineLevel="1">
      <c r="A203" s="5">
        <v>45194.0</v>
      </c>
      <c r="B203" s="1">
        <v>145.0</v>
      </c>
      <c r="C203" s="1">
        <v>20.0</v>
      </c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hidden="1" customHeight="1" outlineLevel="1">
      <c r="A204" s="5">
        <v>45191.0</v>
      </c>
      <c r="B204" s="1">
        <v>142.0</v>
      </c>
      <c r="C204" s="1">
        <v>20.0</v>
      </c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hidden="1" customHeight="1" outlineLevel="1">
      <c r="A205" s="5">
        <v>45190.0</v>
      </c>
      <c r="B205" s="1">
        <v>141.0</v>
      </c>
      <c r="C205" s="1">
        <v>20.0</v>
      </c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hidden="1" customHeight="1" outlineLevel="1">
      <c r="A206" s="5">
        <v>45189.0</v>
      </c>
      <c r="B206" s="1">
        <v>146.0</v>
      </c>
      <c r="C206" s="1">
        <v>21.0</v>
      </c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hidden="1" customHeight="1" outlineLevel="1">
      <c r="A207" s="5">
        <v>45188.0</v>
      </c>
      <c r="B207" s="1">
        <v>144.0</v>
      </c>
      <c r="C207" s="1">
        <v>21.0</v>
      </c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hidden="1" customHeight="1" outlineLevel="1">
      <c r="A208" s="5">
        <v>45184.0</v>
      </c>
      <c r="B208" s="1">
        <v>145.0</v>
      </c>
      <c r="C208" s="1">
        <v>21.0</v>
      </c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hidden="1" customHeight="1" outlineLevel="1">
      <c r="A209" s="5">
        <v>45183.0</v>
      </c>
      <c r="B209" s="1">
        <v>146.0</v>
      </c>
      <c r="C209" s="1">
        <v>21.0</v>
      </c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hidden="1" customHeight="1" outlineLevel="1">
      <c r="A210" s="5">
        <v>45182.0</v>
      </c>
      <c r="B210" s="1">
        <v>146.0</v>
      </c>
      <c r="C210" s="1">
        <v>21.0</v>
      </c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hidden="1" customHeight="1" outlineLevel="1">
      <c r="A211" s="5">
        <v>45181.0</v>
      </c>
      <c r="B211" s="1">
        <v>147.0</v>
      </c>
      <c r="C211" s="1">
        <v>20.0</v>
      </c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hidden="1" customHeight="1" outlineLevel="1">
      <c r="A212" s="5">
        <v>45180.0</v>
      </c>
      <c r="B212" s="1">
        <v>144.0</v>
      </c>
      <c r="C212" s="1">
        <v>22.0</v>
      </c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hidden="1" customHeight="1" outlineLevel="1">
      <c r="A213" s="5">
        <v>45177.0</v>
      </c>
      <c r="B213" s="1">
        <v>147.0</v>
      </c>
      <c r="C213" s="1">
        <v>22.0</v>
      </c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hidden="1" customHeight="1" outlineLevel="1">
      <c r="A214" s="5">
        <v>45176.0</v>
      </c>
      <c r="B214" s="1">
        <v>150.0</v>
      </c>
      <c r="C214" s="1">
        <v>21.0</v>
      </c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hidden="1" customHeight="1" outlineLevel="1">
      <c r="A215" s="5">
        <v>45175.0</v>
      </c>
      <c r="B215" s="1">
        <v>151.0</v>
      </c>
      <c r="C215" s="1">
        <v>21.0</v>
      </c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hidden="1" customHeight="1" outlineLevel="1">
      <c r="A216" s="5">
        <v>45174.0</v>
      </c>
      <c r="B216" s="1">
        <v>150.0</v>
      </c>
      <c r="C216" s="1">
        <v>21.0</v>
      </c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hidden="1" customHeight="1" outlineLevel="1">
      <c r="A217" s="5">
        <v>45173.0</v>
      </c>
      <c r="B217" s="1">
        <v>149.0</v>
      </c>
      <c r="C217" s="1">
        <v>22.0</v>
      </c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hidden="1" customHeight="1" outlineLevel="1">
      <c r="A218" s="5">
        <v>45170.0</v>
      </c>
      <c r="B218" s="1">
        <v>151.0</v>
      </c>
      <c r="C218" s="1">
        <v>22.0</v>
      </c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hidden="1" customHeight="1" outlineLevel="1">
      <c r="A219" s="5">
        <v>45169.0</v>
      </c>
      <c r="B219" s="1">
        <v>153.0</v>
      </c>
      <c r="C219" s="1">
        <v>23.0</v>
      </c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hidden="1" customHeight="1" outlineLevel="1">
      <c r="A220" s="5">
        <v>45168.0</v>
      </c>
      <c r="B220" s="1">
        <v>147.0</v>
      </c>
      <c r="C220" s="1">
        <v>22.0</v>
      </c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hidden="1" customHeight="1" outlineLevel="1">
      <c r="A221" s="5">
        <v>45167.0</v>
      </c>
      <c r="B221" s="1">
        <v>148.0</v>
      </c>
      <c r="C221" s="1">
        <v>23.0</v>
      </c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hidden="1" customHeight="1" outlineLevel="1">
      <c r="A222" s="5">
        <v>45166.0</v>
      </c>
      <c r="B222" s="1">
        <v>146.0</v>
      </c>
      <c r="C222" s="1">
        <v>23.0</v>
      </c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hidden="1" customHeight="1" outlineLevel="1">
      <c r="A223" s="5">
        <v>45163.0</v>
      </c>
      <c r="B223" s="1">
        <v>143.0</v>
      </c>
      <c r="C223" s="1">
        <v>23.0</v>
      </c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hidden="1" customHeight="1" outlineLevel="1">
      <c r="A224" s="5">
        <v>45162.0</v>
      </c>
      <c r="B224" s="1">
        <v>142.0</v>
      </c>
      <c r="C224" s="1">
        <v>22.0</v>
      </c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hidden="1" customHeight="1" outlineLevel="1">
      <c r="A225" s="5">
        <v>45161.0</v>
      </c>
      <c r="B225" s="1">
        <v>139.0</v>
      </c>
      <c r="C225" s="1">
        <v>22.0</v>
      </c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hidden="1" customHeight="1" outlineLevel="1">
      <c r="A226" s="5">
        <v>45160.0</v>
      </c>
      <c r="B226" s="1">
        <v>138.0</v>
      </c>
      <c r="C226" s="1">
        <v>22.0</v>
      </c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hidden="1" customHeight="1" outlineLevel="1">
      <c r="A227" s="5">
        <v>45159.0</v>
      </c>
      <c r="B227" s="1">
        <v>138.0</v>
      </c>
      <c r="C227" s="1">
        <v>21.0</v>
      </c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hidden="1" customHeight="1" outlineLevel="1">
      <c r="A228" s="5">
        <v>45156.0</v>
      </c>
      <c r="B228" s="1">
        <v>136.0</v>
      </c>
      <c r="C228" s="1">
        <v>22.0</v>
      </c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hidden="1" customHeight="1" outlineLevel="1">
      <c r="A229" s="5">
        <v>45155.0</v>
      </c>
      <c r="B229" s="1">
        <v>135.0</v>
      </c>
      <c r="C229" s="1">
        <v>22.0</v>
      </c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hidden="1" customHeight="1" outlineLevel="1">
      <c r="A230" s="5">
        <v>45154.0</v>
      </c>
      <c r="B230" s="1">
        <v>137.0</v>
      </c>
      <c r="C230" s="1">
        <v>22.0</v>
      </c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hidden="1" customHeight="1" outlineLevel="1">
      <c r="A231" s="5">
        <v>45153.0</v>
      </c>
      <c r="B231" s="1">
        <v>139.0</v>
      </c>
      <c r="C231" s="1">
        <v>22.0</v>
      </c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hidden="1" customHeight="1" outlineLevel="1">
      <c r="A232" s="5">
        <v>45152.0</v>
      </c>
      <c r="B232" s="1">
        <v>138.0</v>
      </c>
      <c r="C232" s="1">
        <v>23.0</v>
      </c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hidden="1" customHeight="1" outlineLevel="1">
      <c r="A233" s="5">
        <v>45148.0</v>
      </c>
      <c r="B233" s="1">
        <v>138.0</v>
      </c>
      <c r="C233" s="1">
        <v>22.0</v>
      </c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hidden="1" customHeight="1" outlineLevel="1">
      <c r="A234" s="5">
        <v>45147.0</v>
      </c>
      <c r="B234" s="1">
        <v>139.0</v>
      </c>
      <c r="C234" s="1">
        <v>23.0</v>
      </c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hidden="1" customHeight="1" outlineLevel="1">
      <c r="A235" s="5">
        <v>45146.0</v>
      </c>
      <c r="B235" s="1">
        <v>142.0</v>
      </c>
      <c r="C235" s="1">
        <v>22.0</v>
      </c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hidden="1" customHeight="1" outlineLevel="1">
      <c r="A236" s="5">
        <v>45145.0</v>
      </c>
      <c r="B236" s="1">
        <v>142.0</v>
      </c>
      <c r="C236" s="1">
        <v>22.0</v>
      </c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hidden="1" customHeight="1" outlineLevel="1">
      <c r="A237" s="5">
        <v>45142.0</v>
      </c>
      <c r="B237" s="1">
        <v>137.0</v>
      </c>
      <c r="C237" s="1">
        <v>22.0</v>
      </c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hidden="1" customHeight="1" outlineLevel="1">
      <c r="A238" s="5">
        <v>45141.0</v>
      </c>
      <c r="B238" s="1">
        <v>138.0</v>
      </c>
      <c r="C238" s="1">
        <v>23.0</v>
      </c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hidden="1" customHeight="1" outlineLevel="1">
      <c r="A239" s="5">
        <v>45140.0</v>
      </c>
      <c r="B239" s="1">
        <v>140.0</v>
      </c>
      <c r="C239" s="1">
        <v>23.0</v>
      </c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hidden="1" customHeight="1" outlineLevel="1">
      <c r="A240" s="5">
        <v>45139.0</v>
      </c>
      <c r="B240" s="1">
        <v>143.0</v>
      </c>
      <c r="C240" s="1">
        <v>23.0</v>
      </c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hidden="1" customHeight="1" outlineLevel="1">
      <c r="A241" s="5">
        <v>45138.0</v>
      </c>
      <c r="B241" s="1">
        <v>145.0</v>
      </c>
      <c r="C241" s="1">
        <v>23.0</v>
      </c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hidden="1" customHeight="1" outlineLevel="1">
      <c r="A242" s="5">
        <v>45135.0</v>
      </c>
      <c r="B242" s="1">
        <v>144.0</v>
      </c>
      <c r="C242" s="1">
        <v>22.0</v>
      </c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hidden="1" customHeight="1" outlineLevel="1">
      <c r="A243" s="5">
        <v>45134.0</v>
      </c>
      <c r="B243" s="1">
        <v>146.0</v>
      </c>
      <c r="C243" s="1">
        <v>23.0</v>
      </c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hidden="1" customHeight="1" outlineLevel="1">
      <c r="A244" s="5">
        <v>45133.0</v>
      </c>
      <c r="B244" s="1">
        <v>147.0</v>
      </c>
      <c r="C244" s="1">
        <v>22.0</v>
      </c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hidden="1" customHeight="1" outlineLevel="1">
      <c r="A245" s="5">
        <v>45132.0</v>
      </c>
      <c r="B245" s="1">
        <v>145.0</v>
      </c>
      <c r="C245" s="1">
        <v>23.0</v>
      </c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hidden="1" customHeight="1" outlineLevel="1">
      <c r="A246" s="5">
        <v>45131.0</v>
      </c>
      <c r="B246" s="1">
        <v>146.0</v>
      </c>
      <c r="C246" s="1">
        <v>23.0</v>
      </c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hidden="1" customHeight="1" outlineLevel="1">
      <c r="A247" s="5">
        <v>45128.0</v>
      </c>
      <c r="B247" s="1">
        <v>146.0</v>
      </c>
      <c r="C247" s="1">
        <v>23.0</v>
      </c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hidden="1" customHeight="1" outlineLevel="1">
      <c r="A248" s="5">
        <v>45127.0</v>
      </c>
      <c r="B248" s="1">
        <v>150.0</v>
      </c>
      <c r="C248" s="1">
        <v>22.0</v>
      </c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hidden="1" customHeight="1" outlineLevel="1">
      <c r="A249" s="5">
        <v>45126.0</v>
      </c>
      <c r="B249" s="1">
        <v>150.0</v>
      </c>
      <c r="C249" s="1">
        <v>23.0</v>
      </c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hidden="1" customHeight="1" outlineLevel="1">
      <c r="A250" s="5">
        <v>45125.0</v>
      </c>
      <c r="B250" s="1">
        <v>152.0</v>
      </c>
      <c r="C250" s="1">
        <v>23.0</v>
      </c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hidden="1" customHeight="1" outlineLevel="1">
      <c r="A251" s="5">
        <v>45121.0</v>
      </c>
      <c r="B251" s="1">
        <v>151.0</v>
      </c>
      <c r="C251" s="1">
        <v>23.0</v>
      </c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hidden="1" customHeight="1" outlineLevel="1">
      <c r="A252" s="5">
        <v>45120.0</v>
      </c>
      <c r="B252" s="1">
        <v>154.0</v>
      </c>
      <c r="C252" s="1">
        <v>23.0</v>
      </c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hidden="1" customHeight="1" outlineLevel="1">
      <c r="A253" s="5">
        <v>45119.0</v>
      </c>
      <c r="B253" s="1">
        <v>149.0</v>
      </c>
      <c r="C253" s="1">
        <v>22.0</v>
      </c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hidden="1" customHeight="1" outlineLevel="1">
      <c r="A254" s="5">
        <v>45118.0</v>
      </c>
      <c r="B254" s="1">
        <v>152.0</v>
      </c>
      <c r="C254" s="1">
        <v>22.0</v>
      </c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hidden="1" customHeight="1" outlineLevel="1">
      <c r="A255" s="5">
        <v>45117.0</v>
      </c>
      <c r="B255" s="1">
        <v>150.0</v>
      </c>
      <c r="C255" s="1">
        <v>21.0</v>
      </c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hidden="1" customHeight="1" outlineLevel="1">
      <c r="A256" s="5">
        <v>45114.0</v>
      </c>
      <c r="B256" s="1">
        <v>153.0</v>
      </c>
      <c r="C256" s="1">
        <v>22.0</v>
      </c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hidden="1" customHeight="1" outlineLevel="1">
      <c r="A257" s="5">
        <v>45113.0</v>
      </c>
      <c r="B257" s="1">
        <v>142.0</v>
      </c>
      <c r="C257" s="1">
        <v>22.0</v>
      </c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hidden="1" customHeight="1" outlineLevel="1">
      <c r="A258" s="5">
        <v>45112.0</v>
      </c>
      <c r="B258" s="1">
        <v>146.0</v>
      </c>
      <c r="C258" s="1">
        <v>22.0</v>
      </c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hidden="1" customHeight="1" outlineLevel="1">
      <c r="A259" s="5">
        <v>45111.0</v>
      </c>
      <c r="B259" s="1">
        <v>147.0</v>
      </c>
      <c r="C259" s="1">
        <v>22.0</v>
      </c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hidden="1" customHeight="1" outlineLevel="1">
      <c r="A260" s="5">
        <v>45110.0</v>
      </c>
      <c r="B260" s="1">
        <v>144.0</v>
      </c>
      <c r="C260" s="1">
        <v>22.0</v>
      </c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hidden="1" customHeight="1" outlineLevel="1">
      <c r="A261" s="5">
        <v>45107.0</v>
      </c>
      <c r="B261" s="1">
        <v>144.0</v>
      </c>
      <c r="C261" s="1">
        <v>22.0</v>
      </c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hidden="1" customHeight="1" outlineLevel="1">
      <c r="A262" s="5">
        <v>45106.0</v>
      </c>
      <c r="B262" s="1">
        <v>146.0</v>
      </c>
      <c r="C262" s="1">
        <v>22.0</v>
      </c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hidden="1" customHeight="1" outlineLevel="1">
      <c r="A263" s="5">
        <v>45105.0</v>
      </c>
      <c r="B263" s="1">
        <v>142.0</v>
      </c>
      <c r="C263" s="1">
        <v>22.0</v>
      </c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hidden="1" customHeight="1" outlineLevel="1">
      <c r="A264" s="5">
        <v>45104.0</v>
      </c>
      <c r="B264" s="1">
        <v>140.0</v>
      </c>
      <c r="C264" s="1">
        <v>22.0</v>
      </c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hidden="1" customHeight="1" outlineLevel="1">
      <c r="A265" s="5">
        <v>45103.0</v>
      </c>
      <c r="B265" s="1">
        <v>145.0</v>
      </c>
      <c r="C265" s="1">
        <v>22.0</v>
      </c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hidden="1" customHeight="1" outlineLevel="1">
      <c r="A266" s="5">
        <v>45100.0</v>
      </c>
      <c r="B266" s="1">
        <v>149.0</v>
      </c>
      <c r="C266" s="1">
        <v>22.0</v>
      </c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hidden="1" customHeight="1" outlineLevel="1">
      <c r="A267" s="5">
        <v>45099.0</v>
      </c>
      <c r="B267" s="1">
        <v>148.0</v>
      </c>
      <c r="C267" s="1">
        <v>22.0</v>
      </c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hidden="1" customHeight="1" outlineLevel="1">
      <c r="A268" s="5">
        <v>45098.0</v>
      </c>
      <c r="B268" s="1">
        <v>150.0</v>
      </c>
      <c r="C268" s="1">
        <v>23.0</v>
      </c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hidden="1" customHeight="1" outlineLevel="1">
      <c r="A269" s="5">
        <v>45097.0</v>
      </c>
      <c r="B269" s="1">
        <v>147.0</v>
      </c>
      <c r="C269" s="1">
        <v>23.0</v>
      </c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hidden="1" customHeight="1" outlineLevel="1">
      <c r="A270" s="5">
        <v>45096.0</v>
      </c>
      <c r="B270" s="1">
        <v>157.0</v>
      </c>
      <c r="C270" s="1">
        <v>22.0</v>
      </c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hidden="1" customHeight="1" outlineLevel="1">
      <c r="A271" s="5">
        <v>45093.0</v>
      </c>
      <c r="B271" s="1">
        <v>147.0</v>
      </c>
      <c r="C271" s="1">
        <v>22.0</v>
      </c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hidden="1" customHeight="1" outlineLevel="1">
      <c r="A272" s="5">
        <v>45092.0</v>
      </c>
      <c r="B272" s="1">
        <v>133.0</v>
      </c>
      <c r="C272" s="1">
        <v>22.0</v>
      </c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hidden="1" customHeight="1" outlineLevel="1">
      <c r="A273" s="5">
        <v>45091.0</v>
      </c>
      <c r="B273" s="1">
        <v>136.0</v>
      </c>
      <c r="C273" s="1">
        <v>22.0</v>
      </c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hidden="1" customHeight="1" outlineLevel="1">
      <c r="A274" s="5">
        <v>45090.0</v>
      </c>
      <c r="B274" s="1">
        <v>138.0</v>
      </c>
      <c r="C274" s="1">
        <v>22.0</v>
      </c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hidden="1" customHeight="1" outlineLevel="1">
      <c r="A275" s="5">
        <v>45089.0</v>
      </c>
      <c r="B275" s="1">
        <v>137.0</v>
      </c>
      <c r="C275" s="1">
        <v>23.0</v>
      </c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hidden="1" customHeight="1" outlineLevel="1">
      <c r="A276" s="5">
        <v>45086.0</v>
      </c>
      <c r="B276" s="1">
        <v>134.0</v>
      </c>
      <c r="C276" s="1">
        <v>22.0</v>
      </c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hidden="1" customHeight="1" outlineLevel="1">
      <c r="A277" s="5">
        <v>45085.0</v>
      </c>
      <c r="B277" s="1">
        <v>133.0</v>
      </c>
      <c r="C277" s="1">
        <v>23.0</v>
      </c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hidden="1" customHeight="1" outlineLevel="1">
      <c r="A278" s="5">
        <v>45084.0</v>
      </c>
      <c r="B278" s="1">
        <v>137.0</v>
      </c>
      <c r="C278" s="1">
        <v>23.0</v>
      </c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hidden="1" customHeight="1" outlineLevel="1">
      <c r="A279" s="5">
        <v>45083.0</v>
      </c>
      <c r="B279" s="1">
        <v>136.0</v>
      </c>
      <c r="C279" s="1">
        <v>23.0</v>
      </c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hidden="1" customHeight="1" outlineLevel="1">
      <c r="A280" s="5">
        <v>45082.0</v>
      </c>
      <c r="B280" s="1">
        <v>139.0</v>
      </c>
      <c r="C280" s="1">
        <v>24.0</v>
      </c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hidden="1" customHeight="1" outlineLevel="1">
      <c r="A281" s="5">
        <v>45079.0</v>
      </c>
      <c r="B281" s="1">
        <v>136.0</v>
      </c>
      <c r="C281" s="1">
        <v>23.0</v>
      </c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hidden="1" customHeight="1" outlineLevel="1">
      <c r="A282" s="5">
        <v>45078.0</v>
      </c>
      <c r="B282" s="1">
        <v>138.0</v>
      </c>
      <c r="C282" s="1">
        <v>24.0</v>
      </c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hidden="1" customHeight="1" outlineLevel="1">
      <c r="A283" s="5">
        <v>45077.0</v>
      </c>
      <c r="B283" s="1">
        <v>137.0</v>
      </c>
      <c r="C283" s="1">
        <v>22.0</v>
      </c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hidden="1" customHeight="1" outlineLevel="1">
      <c r="A284" s="5">
        <v>45076.0</v>
      </c>
      <c r="B284" s="1">
        <v>139.0</v>
      </c>
      <c r="C284" s="1">
        <v>23.0</v>
      </c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hidden="1" customHeight="1" outlineLevel="1">
      <c r="A285" s="5">
        <v>45075.0</v>
      </c>
      <c r="B285" s="1">
        <v>136.0</v>
      </c>
      <c r="C285" s="1">
        <v>24.0</v>
      </c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hidden="1" customHeight="1" outlineLevel="1">
      <c r="A286" s="5">
        <v>45072.0</v>
      </c>
      <c r="B286" s="1">
        <v>129.0</v>
      </c>
      <c r="C286" s="1">
        <v>25.0</v>
      </c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hidden="1" customHeight="1" outlineLevel="1">
      <c r="A287" s="5">
        <v>45071.0</v>
      </c>
      <c r="B287" s="1">
        <v>131.0</v>
      </c>
      <c r="C287" s="1">
        <v>26.0</v>
      </c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hidden="1" customHeight="1" outlineLevel="1">
      <c r="A288" s="5">
        <v>45070.0</v>
      </c>
      <c r="B288" s="1">
        <v>132.0</v>
      </c>
      <c r="C288" s="1">
        <v>26.0</v>
      </c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hidden="1" customHeight="1" outlineLevel="1">
      <c r="A289" s="5">
        <v>45069.0</v>
      </c>
      <c r="B289" s="1">
        <v>131.0</v>
      </c>
      <c r="C289" s="1">
        <v>26.0</v>
      </c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hidden="1" customHeight="1" outlineLevel="1">
      <c r="A290" s="5">
        <v>45068.0</v>
      </c>
      <c r="B290" s="1">
        <v>133.0</v>
      </c>
      <c r="C290" s="1">
        <v>24.0</v>
      </c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hidden="1" customHeight="1" outlineLevel="1">
      <c r="A291" s="5">
        <v>45065.0</v>
      </c>
      <c r="B291" s="1">
        <v>131.0</v>
      </c>
      <c r="C291" s="1">
        <v>26.0</v>
      </c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hidden="1" customHeight="1" outlineLevel="1">
      <c r="A292" s="5">
        <v>45064.0</v>
      </c>
      <c r="B292" s="1">
        <v>132.0</v>
      </c>
      <c r="C292" s="1">
        <v>25.0</v>
      </c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hidden="1" customHeight="1" outlineLevel="1">
      <c r="A293" s="5">
        <v>45063.0</v>
      </c>
      <c r="B293" s="1">
        <v>135.0</v>
      </c>
      <c r="C293" s="1">
        <v>26.0</v>
      </c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hidden="1" customHeight="1" outlineLevel="1">
      <c r="A294" s="5">
        <v>45062.0</v>
      </c>
      <c r="B294" s="1">
        <v>134.0</v>
      </c>
      <c r="C294" s="1">
        <v>24.0</v>
      </c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hidden="1" customHeight="1" outlineLevel="1">
      <c r="A295" s="5">
        <v>45061.0</v>
      </c>
      <c r="B295" s="1">
        <v>136.0</v>
      </c>
      <c r="C295" s="1">
        <v>26.0</v>
      </c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hidden="1" customHeight="1" outlineLevel="1">
      <c r="A296" s="5">
        <v>45058.0</v>
      </c>
      <c r="B296" s="1">
        <v>138.0</v>
      </c>
      <c r="C296" s="1">
        <v>26.0</v>
      </c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hidden="1" customHeight="1" outlineLevel="1">
      <c r="A297" s="5">
        <v>45057.0</v>
      </c>
      <c r="B297" s="1">
        <v>139.0</v>
      </c>
      <c r="C297" s="1">
        <v>28.0</v>
      </c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hidden="1" customHeight="1" outlineLevel="1">
      <c r="A298" s="5">
        <v>45056.0</v>
      </c>
      <c r="B298" s="1">
        <v>139.0</v>
      </c>
      <c r="C298" s="1">
        <v>28.0</v>
      </c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hidden="1" customHeight="1" outlineLevel="1">
      <c r="A299" s="5">
        <v>45055.0</v>
      </c>
      <c r="B299" s="1">
        <v>141.0</v>
      </c>
      <c r="C299" s="1">
        <v>29.0</v>
      </c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hidden="1" customHeight="1" outlineLevel="1">
      <c r="A300" s="5">
        <v>45054.0</v>
      </c>
      <c r="B300" s="1">
        <v>143.0</v>
      </c>
      <c r="C300" s="1">
        <v>29.0</v>
      </c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hidden="1" customHeight="1" outlineLevel="1">
      <c r="A301" s="5">
        <v>45048.0</v>
      </c>
      <c r="B301" s="1">
        <v>146.0</v>
      </c>
      <c r="C301" s="1">
        <v>30.0</v>
      </c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hidden="1" customHeight="1" outlineLevel="1">
      <c r="A302" s="5">
        <v>45047.0</v>
      </c>
      <c r="B302" s="1">
        <v>145.0</v>
      </c>
      <c r="C302" s="1">
        <v>29.0</v>
      </c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hidden="1" customHeight="1" outlineLevel="1">
      <c r="A303" s="5">
        <v>45044.0</v>
      </c>
      <c r="B303" s="1">
        <v>142.0</v>
      </c>
      <c r="C303" s="1">
        <v>29.0</v>
      </c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hidden="1" customHeight="1" outlineLevel="1">
      <c r="A304" s="5">
        <v>45043.0</v>
      </c>
      <c r="B304" s="1">
        <v>141.0</v>
      </c>
      <c r="C304" s="1">
        <v>31.0</v>
      </c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hidden="1" customHeight="1" outlineLevel="1">
      <c r="A305" s="5">
        <v>45042.0</v>
      </c>
      <c r="B305" s="1">
        <v>141.0</v>
      </c>
      <c r="C305" s="1">
        <v>31.0</v>
      </c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hidden="1" customHeight="1" outlineLevel="1">
      <c r="A306" s="5">
        <v>45041.0</v>
      </c>
      <c r="B306" s="1">
        <v>142.0</v>
      </c>
      <c r="C306" s="1">
        <v>31.0</v>
      </c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hidden="1" customHeight="1" outlineLevel="1">
      <c r="A307" s="5">
        <v>45040.0</v>
      </c>
      <c r="B307" s="1">
        <v>144.0</v>
      </c>
      <c r="C307" s="1">
        <v>32.0</v>
      </c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hidden="1" customHeight="1" outlineLevel="1">
      <c r="A308" s="5">
        <v>45037.0</v>
      </c>
      <c r="B308" s="1">
        <v>145.0</v>
      </c>
      <c r="C308" s="1">
        <v>31.0</v>
      </c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hidden="1" customHeight="1" outlineLevel="1">
      <c r="A309" s="5">
        <v>45036.0</v>
      </c>
      <c r="B309" s="1">
        <v>146.0</v>
      </c>
      <c r="C309" s="1">
        <v>32.0</v>
      </c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hidden="1" customHeight="1" outlineLevel="1">
      <c r="A310" s="5">
        <v>45035.0</v>
      </c>
      <c r="B310" s="1">
        <v>148.0</v>
      </c>
      <c r="C310" s="1">
        <v>31.0</v>
      </c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hidden="1" customHeight="1" outlineLevel="1">
      <c r="A311" s="5">
        <v>45034.0</v>
      </c>
      <c r="B311" s="1">
        <v>146.0</v>
      </c>
      <c r="C311" s="1">
        <v>31.0</v>
      </c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hidden="1" customHeight="1" outlineLevel="1">
      <c r="A312" s="5">
        <v>45033.0</v>
      </c>
      <c r="B312" s="1">
        <v>144.0</v>
      </c>
      <c r="C312" s="1">
        <v>31.0</v>
      </c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hidden="1" customHeight="1" outlineLevel="1">
      <c r="A313" s="5">
        <v>45030.0</v>
      </c>
      <c r="B313" s="1">
        <v>148.0</v>
      </c>
      <c r="C313" s="1">
        <v>31.0</v>
      </c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hidden="1" customHeight="1" outlineLevel="1">
      <c r="A314" s="5">
        <v>45029.0</v>
      </c>
      <c r="B314" s="1">
        <v>149.0</v>
      </c>
      <c r="C314" s="1">
        <v>32.0</v>
      </c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hidden="1" customHeight="1" outlineLevel="1">
      <c r="A315" s="5">
        <v>45028.0</v>
      </c>
      <c r="B315" s="1">
        <v>149.0</v>
      </c>
      <c r="C315" s="1">
        <v>31.0</v>
      </c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hidden="1" customHeight="1" outlineLevel="1">
      <c r="A316" s="5">
        <v>45027.0</v>
      </c>
      <c r="B316" s="1">
        <v>146.0</v>
      </c>
      <c r="C316" s="1">
        <v>31.0</v>
      </c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hidden="1" customHeight="1" outlineLevel="1">
      <c r="A317" s="5">
        <v>45026.0</v>
      </c>
      <c r="B317" s="1">
        <v>145.0</v>
      </c>
      <c r="C317" s="1">
        <v>32.0</v>
      </c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hidden="1" customHeight="1" outlineLevel="1">
      <c r="A318" s="5">
        <v>45023.0</v>
      </c>
      <c r="B318" s="1">
        <v>143.0</v>
      </c>
      <c r="C318" s="1">
        <v>31.0</v>
      </c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hidden="1" customHeight="1" outlineLevel="1">
      <c r="A319" s="5">
        <v>45022.0</v>
      </c>
      <c r="B319" s="1">
        <v>143.0</v>
      </c>
      <c r="C319" s="1">
        <v>31.0</v>
      </c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hidden="1" customHeight="1" outlineLevel="1">
      <c r="A320" s="5">
        <v>45021.0</v>
      </c>
      <c r="B320" s="1">
        <v>144.0</v>
      </c>
      <c r="C320" s="1">
        <v>32.0</v>
      </c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hidden="1" customHeight="1" outlineLevel="1">
      <c r="A321" s="5">
        <v>45020.0</v>
      </c>
      <c r="B321" s="1">
        <v>145.0</v>
      </c>
      <c r="C321" s="1">
        <v>31.0</v>
      </c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hidden="1" customHeight="1" outlineLevel="1">
      <c r="A322" s="5">
        <v>45019.0</v>
      </c>
      <c r="B322" s="1">
        <v>147.0</v>
      </c>
      <c r="C322" s="1">
        <v>31.0</v>
      </c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hidden="1" customHeight="1" outlineLevel="1">
      <c r="A323" s="5">
        <v>45016.0</v>
      </c>
      <c r="B323" s="1">
        <v>147.0</v>
      </c>
      <c r="C323" s="1">
        <v>31.0</v>
      </c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hidden="1" customHeight="1" outlineLevel="1">
      <c r="A324" s="5">
        <v>45015.0</v>
      </c>
      <c r="B324" s="1">
        <v>148.0</v>
      </c>
      <c r="C324" s="1">
        <v>31.0</v>
      </c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hidden="1" customHeight="1" outlineLevel="1">
      <c r="A325" s="5">
        <v>45014.0</v>
      </c>
      <c r="B325" s="1">
        <v>145.0</v>
      </c>
      <c r="C325" s="1">
        <v>31.0</v>
      </c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hidden="1" customHeight="1" outlineLevel="1">
      <c r="A326" s="5">
        <v>45013.0</v>
      </c>
      <c r="B326" s="1">
        <v>145.0</v>
      </c>
      <c r="C326" s="1">
        <v>31.0</v>
      </c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hidden="1" customHeight="1" outlineLevel="1">
      <c r="A327" s="5">
        <v>45012.0</v>
      </c>
      <c r="B327" s="1">
        <v>142.0</v>
      </c>
      <c r="C327" s="1">
        <v>32.0</v>
      </c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hidden="1" customHeight="1" outlineLevel="1">
      <c r="A328" s="5">
        <v>45009.0</v>
      </c>
      <c r="B328" s="1">
        <v>142.0</v>
      </c>
      <c r="C328" s="1">
        <v>32.0</v>
      </c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hidden="1" customHeight="1" outlineLevel="1">
      <c r="A329" s="5">
        <v>45008.0</v>
      </c>
      <c r="B329" s="1">
        <v>142.0</v>
      </c>
      <c r="C329" s="1">
        <v>33.0</v>
      </c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hidden="1" customHeight="1" outlineLevel="1">
      <c r="A330" s="5">
        <v>45007.0</v>
      </c>
      <c r="B330" s="1">
        <v>143.0</v>
      </c>
      <c r="C330" s="1">
        <v>33.0</v>
      </c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hidden="1" customHeight="1" outlineLevel="1">
      <c r="A331" s="5">
        <v>45005.0</v>
      </c>
      <c r="B331" s="1">
        <v>142.0</v>
      </c>
      <c r="C331" s="1">
        <v>31.0</v>
      </c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hidden="1" customHeight="1" outlineLevel="1">
      <c r="A332" s="5">
        <v>45002.0</v>
      </c>
      <c r="B332" s="1">
        <v>144.0</v>
      </c>
      <c r="C332" s="1">
        <v>31.0</v>
      </c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hidden="1" customHeight="1" outlineLevel="1">
      <c r="A333" s="5">
        <v>45001.0</v>
      </c>
      <c r="B333" s="1">
        <v>141.0</v>
      </c>
      <c r="C333" s="1">
        <v>32.0</v>
      </c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hidden="1" customHeight="1" outlineLevel="1">
      <c r="A334" s="5">
        <v>45000.0</v>
      </c>
      <c r="B334" s="1">
        <v>143.0</v>
      </c>
      <c r="C334" s="1">
        <v>31.0</v>
      </c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hidden="1" customHeight="1" outlineLevel="1">
      <c r="A335" s="5">
        <v>44999.0</v>
      </c>
      <c r="B335" s="1">
        <v>144.0</v>
      </c>
      <c r="C335" s="1">
        <v>31.0</v>
      </c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hidden="1" customHeight="1" outlineLevel="1">
      <c r="A336" s="5">
        <v>44998.0</v>
      </c>
      <c r="B336" s="1">
        <v>148.0</v>
      </c>
      <c r="C336" s="1">
        <v>32.0</v>
      </c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hidden="1" customHeight="1" outlineLevel="1">
      <c r="A337" s="5">
        <v>44995.0</v>
      </c>
      <c r="B337" s="1">
        <v>147.0</v>
      </c>
      <c r="C337" s="1">
        <v>33.0</v>
      </c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hidden="1" customHeight="1" outlineLevel="1">
      <c r="A338" s="5">
        <v>44994.0</v>
      </c>
      <c r="B338" s="1">
        <v>151.0</v>
      </c>
      <c r="C338" s="1">
        <v>34.0</v>
      </c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hidden="1" customHeight="1" outlineLevel="1">
      <c r="A339" s="5">
        <v>44993.0</v>
      </c>
      <c r="B339" s="1">
        <v>150.0</v>
      </c>
      <c r="C339" s="1">
        <v>33.0</v>
      </c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hidden="1" customHeight="1" outlineLevel="1">
      <c r="A340" s="5">
        <v>44992.0</v>
      </c>
      <c r="B340" s="1">
        <v>150.0</v>
      </c>
      <c r="C340" s="1">
        <v>33.0</v>
      </c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hidden="1" customHeight="1" outlineLevel="1">
      <c r="A341" s="5">
        <v>44991.0</v>
      </c>
      <c r="B341" s="1">
        <v>149.0</v>
      </c>
      <c r="C341" s="1">
        <v>34.0</v>
      </c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hidden="1" customHeight="1" outlineLevel="1">
      <c r="A342" s="5">
        <v>44988.0</v>
      </c>
      <c r="B342" s="1">
        <v>149.0</v>
      </c>
      <c r="C342" s="1">
        <v>33.0</v>
      </c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hidden="1" customHeight="1" outlineLevel="1">
      <c r="A343" s="5">
        <v>44987.0</v>
      </c>
      <c r="B343" s="1">
        <v>148.0</v>
      </c>
      <c r="C343" s="1">
        <v>33.0</v>
      </c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hidden="1" customHeight="1" outlineLevel="1">
      <c r="A344" s="5">
        <v>44986.0</v>
      </c>
      <c r="B344" s="1">
        <v>150.0</v>
      </c>
      <c r="C344" s="1">
        <v>34.0</v>
      </c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hidden="1" customHeight="1" outlineLevel="1">
      <c r="A345" s="5">
        <v>44985.0</v>
      </c>
      <c r="B345" s="1">
        <v>151.0</v>
      </c>
      <c r="C345" s="1">
        <v>33.0</v>
      </c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hidden="1" customHeight="1" outlineLevel="1">
      <c r="A346" s="5">
        <v>44984.0</v>
      </c>
      <c r="B346" s="1">
        <v>149.0</v>
      </c>
      <c r="C346" s="1">
        <v>33.0</v>
      </c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hidden="1" customHeight="1" outlineLevel="1">
      <c r="A347" s="5">
        <v>44981.0</v>
      </c>
      <c r="B347" s="1">
        <v>147.0</v>
      </c>
      <c r="C347" s="1">
        <v>34.0</v>
      </c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hidden="1" customHeight="1" outlineLevel="1">
      <c r="A348" s="5">
        <v>44979.0</v>
      </c>
      <c r="B348" s="1">
        <v>149.0</v>
      </c>
      <c r="C348" s="1">
        <v>35.0</v>
      </c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hidden="1" customHeight="1" outlineLevel="1">
      <c r="A349" s="5">
        <v>44978.0</v>
      </c>
      <c r="B349" s="1">
        <v>147.0</v>
      </c>
      <c r="C349" s="1">
        <v>35.0</v>
      </c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hidden="1" customHeight="1" outlineLevel="1">
      <c r="A350" s="5">
        <v>44977.0</v>
      </c>
      <c r="B350" s="1">
        <v>147.0</v>
      </c>
      <c r="C350" s="1">
        <v>34.0</v>
      </c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hidden="1" customHeight="1" outlineLevel="1">
      <c r="A351" s="5">
        <v>44974.0</v>
      </c>
      <c r="B351" s="1">
        <v>147.0</v>
      </c>
      <c r="C351" s="1">
        <v>34.0</v>
      </c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hidden="1" customHeight="1" outlineLevel="1">
      <c r="A352" s="5">
        <v>44973.0</v>
      </c>
      <c r="B352" s="1">
        <v>147.0</v>
      </c>
      <c r="C352" s="1">
        <v>34.0</v>
      </c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hidden="1" customHeight="1" outlineLevel="1">
      <c r="A353" s="5">
        <v>44972.0</v>
      </c>
      <c r="B353" s="1">
        <v>144.0</v>
      </c>
      <c r="C353" s="1">
        <v>31.0</v>
      </c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hidden="1" customHeight="1" outlineLevel="1">
      <c r="A354" s="5">
        <v>44971.0</v>
      </c>
      <c r="B354" s="1">
        <v>151.0</v>
      </c>
      <c r="C354" s="1">
        <v>30.0</v>
      </c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hidden="1" customHeight="1" outlineLevel="1">
      <c r="A355" s="5">
        <v>44970.0</v>
      </c>
      <c r="B355" s="1">
        <v>151.0</v>
      </c>
      <c r="C355" s="1">
        <v>32.0</v>
      </c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hidden="1" customHeight="1" outlineLevel="1">
      <c r="A356" s="5">
        <v>44967.0</v>
      </c>
      <c r="B356" s="1">
        <v>169.0</v>
      </c>
      <c r="C356" s="1">
        <v>32.0</v>
      </c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hidden="1" customHeight="1" outlineLevel="1">
      <c r="A357" s="5">
        <v>44966.0</v>
      </c>
      <c r="B357" s="1">
        <v>174.0</v>
      </c>
      <c r="C357" s="1">
        <v>34.0</v>
      </c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hidden="1" customHeight="1" outlineLevel="1">
      <c r="A358" s="5">
        <v>44965.0</v>
      </c>
      <c r="B358" s="1">
        <v>169.0</v>
      </c>
      <c r="C358" s="1">
        <v>34.0</v>
      </c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hidden="1" customHeight="1" outlineLevel="1">
      <c r="A359" s="5">
        <v>44964.0</v>
      </c>
      <c r="B359" s="1">
        <v>167.0</v>
      </c>
      <c r="C359" s="1">
        <v>35.0</v>
      </c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hidden="1" customHeight="1" outlineLevel="1">
      <c r="A360" s="5">
        <v>44963.0</v>
      </c>
      <c r="B360" s="1">
        <v>167.0</v>
      </c>
      <c r="C360" s="1">
        <v>36.0</v>
      </c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hidden="1" customHeight="1" outlineLevel="1">
      <c r="A361" s="5">
        <v>44960.0</v>
      </c>
      <c r="B361" s="1">
        <v>169.0</v>
      </c>
      <c r="C361" s="1">
        <v>37.0</v>
      </c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hidden="1" customHeight="1" outlineLevel="1">
      <c r="A362" s="5">
        <v>44959.0</v>
      </c>
      <c r="B362" s="1">
        <v>162.0</v>
      </c>
      <c r="C362" s="1">
        <v>38.0</v>
      </c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hidden="1" customHeight="1" outlineLevel="1">
      <c r="A363" s="5">
        <v>44958.0</v>
      </c>
      <c r="B363" s="1">
        <v>166.0</v>
      </c>
      <c r="C363" s="1">
        <v>37.0</v>
      </c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hidden="1" customHeight="1" outlineLevel="1">
      <c r="A364" s="5">
        <v>44957.0</v>
      </c>
      <c r="B364" s="1">
        <v>165.0</v>
      </c>
      <c r="C364" s="1">
        <v>37.0</v>
      </c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hidden="1" customHeight="1" outlineLevel="1">
      <c r="A365" s="5">
        <v>44956.0</v>
      </c>
      <c r="B365" s="1">
        <v>164.0</v>
      </c>
      <c r="C365" s="1">
        <v>36.0</v>
      </c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hidden="1" customHeight="1" outlineLevel="1">
      <c r="A366" s="5">
        <v>44953.0</v>
      </c>
      <c r="B366" s="1">
        <v>167.0</v>
      </c>
      <c r="C366" s="1">
        <v>34.0</v>
      </c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hidden="1" customHeight="1" outlineLevel="1">
      <c r="A367" s="5">
        <v>44952.0</v>
      </c>
      <c r="B367" s="1">
        <v>169.0</v>
      </c>
      <c r="C367" s="1">
        <v>34.0</v>
      </c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hidden="1" customHeight="1" outlineLevel="1">
      <c r="A368" s="5">
        <v>44951.0</v>
      </c>
      <c r="B368" s="1">
        <v>165.0</v>
      </c>
      <c r="C368" s="1">
        <v>36.0</v>
      </c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hidden="1" customHeight="1" outlineLevel="1">
      <c r="A369" s="5">
        <v>44950.0</v>
      </c>
      <c r="B369" s="1">
        <v>164.0</v>
      </c>
      <c r="C369" s="1">
        <v>36.0</v>
      </c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hidden="1" customHeight="1" outlineLevel="1">
      <c r="A370" s="5">
        <v>44949.0</v>
      </c>
      <c r="B370" s="1">
        <v>167.0</v>
      </c>
      <c r="C370" s="1">
        <v>39.0</v>
      </c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hidden="1" customHeight="1" outlineLevel="1">
      <c r="A371" s="5">
        <v>44946.0</v>
      </c>
      <c r="B371" s="1">
        <v>165.0</v>
      </c>
      <c r="C371" s="1">
        <v>39.0</v>
      </c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hidden="1" customHeight="1" outlineLevel="1">
      <c r="A372" s="5">
        <v>44945.0</v>
      </c>
      <c r="B372" s="1">
        <v>164.0</v>
      </c>
      <c r="C372" s="1">
        <v>41.0</v>
      </c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hidden="1" customHeight="1" outlineLevel="1">
      <c r="A373" s="5">
        <v>44944.0</v>
      </c>
      <c r="B373" s="1">
        <v>163.0</v>
      </c>
      <c r="C373" s="1">
        <v>44.0</v>
      </c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hidden="1" customHeight="1" outlineLevel="1">
      <c r="A374" s="5">
        <v>44943.0</v>
      </c>
      <c r="B374" s="1">
        <v>160.0</v>
      </c>
      <c r="C374" s="1">
        <v>45.0</v>
      </c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hidden="1" customHeight="1" outlineLevel="1">
      <c r="A375" s="5">
        <v>44942.0</v>
      </c>
      <c r="B375" s="1">
        <v>161.0</v>
      </c>
      <c r="C375" s="1">
        <v>45.0</v>
      </c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hidden="1" customHeight="1" outlineLevel="1">
      <c r="A376" s="5">
        <v>44939.0</v>
      </c>
      <c r="B376" s="1">
        <v>164.0</v>
      </c>
      <c r="C376" s="1">
        <v>46.0</v>
      </c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hidden="1" customHeight="1" outlineLevel="1">
      <c r="A377" s="5">
        <v>44938.0</v>
      </c>
      <c r="B377" s="1">
        <v>165.0</v>
      </c>
      <c r="C377" s="1">
        <v>46.0</v>
      </c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hidden="1" customHeight="1" outlineLevel="1">
      <c r="A378" s="5">
        <v>44937.0</v>
      </c>
      <c r="B378" s="1">
        <v>166.0</v>
      </c>
      <c r="C378" s="1">
        <v>46.0</v>
      </c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hidden="1" customHeight="1" outlineLevel="1">
      <c r="A379" s="5">
        <v>44936.0</v>
      </c>
      <c r="B379" s="1">
        <v>166.0</v>
      </c>
      <c r="C379" s="1">
        <v>46.0</v>
      </c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hidden="1" customHeight="1" outlineLevel="1">
      <c r="A380" s="5">
        <v>44932.0</v>
      </c>
      <c r="B380" s="1">
        <v>162.0</v>
      </c>
      <c r="C380" s="1">
        <v>46.0</v>
      </c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hidden="1" customHeight="1" outlineLevel="1">
      <c r="A381" s="5">
        <v>44931.0</v>
      </c>
      <c r="B381" s="1">
        <v>160.0</v>
      </c>
      <c r="C381" s="1">
        <v>46.0</v>
      </c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hidden="1" customHeight="1" outlineLevel="1">
      <c r="A382" s="5">
        <v>44930.0</v>
      </c>
      <c r="B382" s="1">
        <v>160.0</v>
      </c>
      <c r="C382" s="1">
        <v>47.0</v>
      </c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hidden="1" customHeight="1" outlineLevel="1">
      <c r="A383" s="5">
        <v>44925.0</v>
      </c>
      <c r="B383" s="1">
        <v>163.0</v>
      </c>
      <c r="C383" s="1">
        <v>47.0</v>
      </c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hidden="1" customHeight="1" outlineLevel="1">
      <c r="A384" s="5">
        <v>44924.0</v>
      </c>
      <c r="B384" s="1">
        <v>162.0</v>
      </c>
      <c r="C384" s="1">
        <v>48.0</v>
      </c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hidden="1" customHeight="1" outlineLevel="1">
      <c r="A385" s="5">
        <v>44923.0</v>
      </c>
      <c r="B385" s="1">
        <v>157.0</v>
      </c>
      <c r="C385" s="1">
        <v>46.0</v>
      </c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hidden="1" customHeight="1" outlineLevel="1">
      <c r="A386" s="5">
        <v>44922.0</v>
      </c>
      <c r="B386" s="1">
        <v>159.0</v>
      </c>
      <c r="C386" s="1">
        <v>47.0</v>
      </c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hidden="1" customHeight="1" outlineLevel="1">
      <c r="A387" s="5">
        <v>44921.0</v>
      </c>
      <c r="B387" s="1">
        <v>158.0</v>
      </c>
      <c r="C387" s="1">
        <v>48.0</v>
      </c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hidden="1" customHeight="1" outlineLevel="1">
      <c r="A388" s="5">
        <v>44918.0</v>
      </c>
      <c r="B388" s="1">
        <v>159.0</v>
      </c>
      <c r="C388" s="1">
        <v>48.0</v>
      </c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hidden="1" customHeight="1" outlineLevel="1">
      <c r="A389" s="5">
        <v>44917.0</v>
      </c>
      <c r="B389" s="1">
        <v>162.0</v>
      </c>
      <c r="C389" s="1">
        <v>48.0</v>
      </c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hidden="1" customHeight="1" outlineLevel="1">
      <c r="A390" s="5">
        <v>44916.0</v>
      </c>
      <c r="B390" s="1">
        <v>163.0</v>
      </c>
      <c r="C390" s="1">
        <v>48.0</v>
      </c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hidden="1" customHeight="1" outlineLevel="1">
      <c r="A391" s="5">
        <v>44915.0</v>
      </c>
      <c r="B391" s="1">
        <v>165.0</v>
      </c>
      <c r="C391" s="1">
        <v>48.0</v>
      </c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hidden="1" customHeight="1" outlineLevel="1">
      <c r="A392" s="5">
        <v>44914.0</v>
      </c>
      <c r="B392" s="1">
        <v>166.0</v>
      </c>
      <c r="C392" s="1">
        <v>50.0</v>
      </c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hidden="1" customHeight="1" outlineLevel="1">
      <c r="A393" s="5">
        <v>44911.0</v>
      </c>
      <c r="B393" s="1">
        <v>178.0</v>
      </c>
      <c r="C393" s="1">
        <v>51.0</v>
      </c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hidden="1" customHeight="1" outlineLevel="1">
      <c r="A394" s="5">
        <v>44910.0</v>
      </c>
      <c r="B394" s="1">
        <v>168.0</v>
      </c>
      <c r="C394" s="1">
        <v>52.0</v>
      </c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hidden="1" customHeight="1" outlineLevel="1">
      <c r="A395" s="5">
        <v>44909.0</v>
      </c>
      <c r="B395" s="1">
        <v>165.0</v>
      </c>
      <c r="C395" s="1">
        <v>54.0</v>
      </c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hidden="1" customHeight="1" outlineLevel="1">
      <c r="A396" s="5">
        <v>44908.0</v>
      </c>
      <c r="B396" s="1">
        <v>162.0</v>
      </c>
      <c r="C396" s="1">
        <v>53.0</v>
      </c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hidden="1" customHeight="1" outlineLevel="1">
      <c r="A397" s="5">
        <v>44907.0</v>
      </c>
      <c r="B397" s="1">
        <v>162.0</v>
      </c>
      <c r="C397" s="1">
        <v>53.0</v>
      </c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hidden="1" customHeight="1" outlineLevel="1">
      <c r="A398" s="5">
        <v>44904.0</v>
      </c>
      <c r="B398" s="1">
        <v>161.0</v>
      </c>
      <c r="C398" s="1">
        <v>52.0</v>
      </c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hidden="1" customHeight="1" outlineLevel="1">
      <c r="A399" s="5">
        <v>44903.0</v>
      </c>
      <c r="B399" s="1">
        <v>161.0</v>
      </c>
      <c r="C399" s="1">
        <v>53.0</v>
      </c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hidden="1" customHeight="1" outlineLevel="1">
      <c r="A400" s="5">
        <v>44902.0</v>
      </c>
      <c r="B400" s="1">
        <v>163.0</v>
      </c>
      <c r="C400" s="1">
        <v>52.0</v>
      </c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hidden="1" customHeight="1" outlineLevel="1">
      <c r="A401" s="5">
        <v>44901.0</v>
      </c>
      <c r="B401" s="1">
        <v>162.0</v>
      </c>
      <c r="C401" s="1">
        <v>50.0</v>
      </c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hidden="1" customHeight="1" outlineLevel="1">
      <c r="A402" s="5">
        <v>44900.0</v>
      </c>
      <c r="B402" s="1">
        <v>164.0</v>
      </c>
      <c r="C402" s="1">
        <v>49.0</v>
      </c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hidden="1" customHeight="1" outlineLevel="1">
      <c r="A403" s="5">
        <v>44897.0</v>
      </c>
      <c r="B403" s="1">
        <v>166.0</v>
      </c>
      <c r="C403" s="1">
        <v>51.0</v>
      </c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hidden="1" customHeight="1" outlineLevel="1">
      <c r="A404" s="5">
        <v>44896.0</v>
      </c>
      <c r="B404" s="1">
        <v>168.0</v>
      </c>
      <c r="C404" s="1">
        <v>54.0</v>
      </c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hidden="1" customHeight="1" outlineLevel="1">
      <c r="A405" s="5">
        <v>44895.0</v>
      </c>
      <c r="B405" s="1">
        <v>167.0</v>
      </c>
      <c r="C405" s="1">
        <v>50.0</v>
      </c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hidden="1" customHeight="1" outlineLevel="1">
      <c r="A406" s="5">
        <v>44894.0</v>
      </c>
      <c r="B406" s="1">
        <v>168.0</v>
      </c>
      <c r="C406" s="1">
        <v>48.0</v>
      </c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hidden="1" customHeight="1" outlineLevel="1">
      <c r="A407" s="5">
        <v>44893.0</v>
      </c>
      <c r="B407" s="1">
        <v>168.0</v>
      </c>
      <c r="C407" s="1">
        <v>49.0</v>
      </c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hidden="1" customHeight="1" outlineLevel="1">
      <c r="A408" s="5">
        <v>44890.0</v>
      </c>
      <c r="B408" s="1">
        <v>169.0</v>
      </c>
      <c r="C408" s="1">
        <v>48.0</v>
      </c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hidden="1" customHeight="1" outlineLevel="1">
      <c r="A409" s="5">
        <v>44889.0</v>
      </c>
      <c r="B409" s="1">
        <v>170.0</v>
      </c>
      <c r="C409" s="1">
        <v>48.0</v>
      </c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hidden="1" customHeight="1" outlineLevel="1">
      <c r="A410" s="5">
        <v>44887.0</v>
      </c>
      <c r="B410" s="1">
        <v>170.0</v>
      </c>
      <c r="C410" s="1">
        <v>47.0</v>
      </c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hidden="1" customHeight="1" outlineLevel="1">
      <c r="A411" s="5">
        <v>44886.0</v>
      </c>
      <c r="B411" s="1">
        <v>171.0</v>
      </c>
      <c r="C411" s="1">
        <v>49.0</v>
      </c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hidden="1" customHeight="1" outlineLevel="1">
      <c r="A412" s="5">
        <v>44883.0</v>
      </c>
      <c r="B412" s="1">
        <v>171.0</v>
      </c>
      <c r="C412" s="1">
        <v>50.0</v>
      </c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hidden="1" customHeight="1" outlineLevel="1">
      <c r="A413" s="5">
        <v>44882.0</v>
      </c>
      <c r="B413" s="1">
        <v>171.0</v>
      </c>
      <c r="C413" s="1">
        <v>48.0</v>
      </c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hidden="1" customHeight="1" outlineLevel="1">
      <c r="A414" s="5">
        <v>44881.0</v>
      </c>
      <c r="B414" s="1">
        <v>171.0</v>
      </c>
      <c r="C414" s="1">
        <v>47.0</v>
      </c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hidden="1" customHeight="1" outlineLevel="1">
      <c r="A415" s="5">
        <v>44880.0</v>
      </c>
      <c r="B415" s="1">
        <v>173.0</v>
      </c>
      <c r="C415" s="1">
        <v>48.0</v>
      </c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hidden="1" customHeight="1" outlineLevel="1">
      <c r="A416" s="5">
        <v>44879.0</v>
      </c>
      <c r="B416" s="1">
        <v>173.0</v>
      </c>
      <c r="C416" s="1">
        <v>47.0</v>
      </c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hidden="1" customHeight="1" outlineLevel="1">
      <c r="A417" s="5">
        <v>44876.0</v>
      </c>
      <c r="B417" s="1">
        <v>176.0</v>
      </c>
      <c r="C417" s="1">
        <v>49.0</v>
      </c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hidden="1" customHeight="1" outlineLevel="1">
      <c r="A418" s="5">
        <v>44875.0</v>
      </c>
      <c r="B418" s="1">
        <v>174.0</v>
      </c>
      <c r="C418" s="1">
        <v>47.0</v>
      </c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hidden="1" customHeight="1" outlineLevel="1">
      <c r="A419" s="5">
        <v>44874.0</v>
      </c>
      <c r="B419" s="1">
        <v>176.0</v>
      </c>
      <c r="C419" s="1">
        <v>47.0</v>
      </c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hidden="1" customHeight="1" outlineLevel="1">
      <c r="A420" s="5">
        <v>44873.0</v>
      </c>
      <c r="B420" s="1">
        <v>174.0</v>
      </c>
      <c r="C420" s="1">
        <v>48.0</v>
      </c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hidden="1" customHeight="1" outlineLevel="1">
      <c r="A421" s="5">
        <v>44872.0</v>
      </c>
      <c r="B421" s="1">
        <v>172.0</v>
      </c>
      <c r="C421" s="1">
        <v>49.0</v>
      </c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hidden="1" customHeight="1" outlineLevel="1">
      <c r="A422" s="5">
        <v>44869.0</v>
      </c>
      <c r="B422" s="1">
        <v>168.0</v>
      </c>
      <c r="C422" s="1">
        <v>48.0</v>
      </c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hidden="1" customHeight="1" outlineLevel="1">
      <c r="A423" s="5">
        <v>44867.0</v>
      </c>
      <c r="B423" s="1">
        <v>171.0</v>
      </c>
      <c r="C423" s="1">
        <v>48.0</v>
      </c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hidden="1" customHeight="1" outlineLevel="1">
      <c r="A424" s="5">
        <v>44866.0</v>
      </c>
      <c r="B424" s="1">
        <v>170.0</v>
      </c>
      <c r="C424" s="1">
        <v>48.0</v>
      </c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hidden="1" customHeight="1" outlineLevel="1">
      <c r="A425" s="5">
        <v>44865.0</v>
      </c>
      <c r="B425" s="1">
        <v>173.0</v>
      </c>
      <c r="C425" s="1">
        <v>50.0</v>
      </c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hidden="1" customHeight="1" outlineLevel="1">
      <c r="A426" s="5">
        <v>44862.0</v>
      </c>
      <c r="B426" s="1">
        <v>174.0</v>
      </c>
      <c r="C426" s="1">
        <v>50.0</v>
      </c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hidden="1" customHeight="1" outlineLevel="1">
      <c r="A427" s="5">
        <v>44861.0</v>
      </c>
      <c r="B427" s="1">
        <v>173.0</v>
      </c>
      <c r="C427" s="1">
        <v>49.0</v>
      </c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hidden="1" customHeight="1" outlineLevel="1">
      <c r="A428" s="5">
        <v>44860.0</v>
      </c>
      <c r="B428" s="1">
        <v>173.0</v>
      </c>
      <c r="C428" s="1">
        <v>49.0</v>
      </c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hidden="1" customHeight="1" outlineLevel="1">
      <c r="A429" s="5">
        <v>44859.0</v>
      </c>
      <c r="B429" s="1">
        <v>170.0</v>
      </c>
      <c r="C429" s="1">
        <v>50.0</v>
      </c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hidden="1" customHeight="1" outlineLevel="1">
      <c r="A430" s="5">
        <v>44858.0</v>
      </c>
      <c r="B430" s="1">
        <v>167.0</v>
      </c>
      <c r="C430" s="1">
        <v>49.0</v>
      </c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hidden="1" customHeight="1" outlineLevel="1">
      <c r="A431" s="5">
        <v>44855.0</v>
      </c>
      <c r="B431" s="1">
        <v>167.0</v>
      </c>
      <c r="C431" s="1">
        <v>50.0</v>
      </c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hidden="1" customHeight="1" outlineLevel="1">
      <c r="A432" s="5">
        <v>44854.0</v>
      </c>
      <c r="B432" s="1">
        <v>168.0</v>
      </c>
      <c r="C432" s="1">
        <v>50.0</v>
      </c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hidden="1" customHeight="1" outlineLevel="1">
      <c r="A433" s="5">
        <v>44853.0</v>
      </c>
      <c r="B433" s="1">
        <v>170.0</v>
      </c>
      <c r="C433" s="1">
        <v>51.0</v>
      </c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hidden="1" customHeight="1" outlineLevel="1">
      <c r="A434" s="5">
        <v>44852.0</v>
      </c>
      <c r="B434" s="1">
        <v>168.0</v>
      </c>
      <c r="C434" s="1">
        <v>48.0</v>
      </c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hidden="1" customHeight="1" outlineLevel="1">
      <c r="A435" s="5">
        <v>44851.0</v>
      </c>
      <c r="B435" s="1">
        <v>167.0</v>
      </c>
      <c r="C435" s="1">
        <v>49.0</v>
      </c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hidden="1" customHeight="1" outlineLevel="1">
      <c r="A436" s="5">
        <v>44848.0</v>
      </c>
      <c r="B436" s="1">
        <v>164.0</v>
      </c>
      <c r="C436" s="1">
        <v>49.0</v>
      </c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hidden="1" customHeight="1" outlineLevel="1">
      <c r="A437" s="5">
        <v>44847.0</v>
      </c>
      <c r="B437" s="1">
        <v>161.0</v>
      </c>
      <c r="C437" s="1">
        <v>49.0</v>
      </c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hidden="1" customHeight="1" outlineLevel="1">
      <c r="A438" s="5">
        <v>44846.0</v>
      </c>
      <c r="B438" s="1">
        <v>164.0</v>
      </c>
      <c r="C438" s="1">
        <v>50.0</v>
      </c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hidden="1" customHeight="1" outlineLevel="1">
      <c r="A439" s="5">
        <v>44845.0</v>
      </c>
      <c r="B439" s="1">
        <v>168.0</v>
      </c>
      <c r="C439" s="1">
        <v>52.0</v>
      </c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hidden="1" customHeight="1" outlineLevel="1">
      <c r="A440" s="5">
        <v>44841.0</v>
      </c>
      <c r="B440" s="1">
        <v>169.0</v>
      </c>
      <c r="C440" s="1">
        <v>53.0</v>
      </c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hidden="1" customHeight="1" outlineLevel="1">
      <c r="A441" s="5">
        <v>44840.0</v>
      </c>
      <c r="B441" s="1">
        <v>169.0</v>
      </c>
      <c r="C441" s="1">
        <v>53.0</v>
      </c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hidden="1" customHeight="1" outlineLevel="1">
      <c r="A442" s="5">
        <v>44839.0</v>
      </c>
      <c r="B442" s="1">
        <v>165.0</v>
      </c>
      <c r="C442" s="1">
        <v>54.0</v>
      </c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hidden="1" customHeight="1" outlineLevel="1">
      <c r="A443" s="5">
        <v>44838.0</v>
      </c>
      <c r="B443" s="1">
        <v>166.0</v>
      </c>
      <c r="C443" s="1">
        <v>53.0</v>
      </c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hidden="1" customHeight="1" outlineLevel="1">
      <c r="A444" s="5">
        <v>44837.0</v>
      </c>
      <c r="B444" s="1">
        <v>161.0</v>
      </c>
      <c r="C444" s="1">
        <v>55.0</v>
      </c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hidden="1" customHeight="1" outlineLevel="1">
      <c r="A445" s="5">
        <v>44834.0</v>
      </c>
      <c r="B445" s="1">
        <v>162.0</v>
      </c>
      <c r="C445" s="1">
        <v>55.0</v>
      </c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hidden="1" customHeight="1" outlineLevel="1">
      <c r="A446" s="5">
        <v>44833.0</v>
      </c>
      <c r="B446" s="1">
        <v>166.0</v>
      </c>
      <c r="C446" s="1">
        <v>54.0</v>
      </c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hidden="1" customHeight="1" outlineLevel="1">
      <c r="A447" s="5">
        <v>44832.0</v>
      </c>
      <c r="B447" s="1">
        <v>163.0</v>
      </c>
      <c r="C447" s="1">
        <v>58.0</v>
      </c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hidden="1" customHeight="1" outlineLevel="1">
      <c r="A448" s="5">
        <v>44831.0</v>
      </c>
      <c r="B448" s="1">
        <v>171.0</v>
      </c>
      <c r="C448" s="1">
        <v>56.0</v>
      </c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hidden="1" customHeight="1" outlineLevel="1">
      <c r="A449" s="5">
        <v>44830.0</v>
      </c>
      <c r="B449" s="1">
        <v>169.0</v>
      </c>
      <c r="C449" s="1">
        <v>54.0</v>
      </c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hidden="1" customHeight="1" outlineLevel="1">
      <c r="A450" s="5">
        <v>44826.0</v>
      </c>
      <c r="B450" s="1">
        <v>173.0</v>
      </c>
      <c r="C450" s="1">
        <v>55.0</v>
      </c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hidden="1" customHeight="1" outlineLevel="1">
      <c r="A451" s="5">
        <v>44825.0</v>
      </c>
      <c r="B451" s="1">
        <v>172.0</v>
      </c>
      <c r="C451" s="1">
        <v>58.0</v>
      </c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hidden="1" customHeight="1" outlineLevel="1">
      <c r="A452" s="5">
        <v>44824.0</v>
      </c>
      <c r="B452" s="1">
        <v>175.0</v>
      </c>
      <c r="C452" s="1">
        <v>56.0</v>
      </c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hidden="1" customHeight="1" outlineLevel="1">
      <c r="A453" s="5">
        <v>44820.0</v>
      </c>
      <c r="B453" s="1">
        <v>176.0</v>
      </c>
      <c r="C453" s="1">
        <v>59.0</v>
      </c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hidden="1" customHeight="1" outlineLevel="1">
      <c r="A454" s="5">
        <v>44819.0</v>
      </c>
      <c r="B454" s="1">
        <v>180.0</v>
      </c>
      <c r="C454" s="1">
        <v>65.0</v>
      </c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hidden="1" customHeight="1" outlineLevel="1">
      <c r="A455" s="5">
        <v>44818.0</v>
      </c>
      <c r="B455" s="1">
        <v>181.0</v>
      </c>
      <c r="C455" s="1">
        <v>54.0</v>
      </c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hidden="1" customHeight="1" outlineLevel="1">
      <c r="A456" s="5">
        <v>44817.0</v>
      </c>
      <c r="B456" s="1">
        <v>181.0</v>
      </c>
      <c r="C456" s="1">
        <v>51.0</v>
      </c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hidden="1" customHeight="1" outlineLevel="1">
      <c r="A457" s="5">
        <v>44816.0</v>
      </c>
      <c r="B457" s="1">
        <v>182.0</v>
      </c>
      <c r="C457" s="1">
        <v>52.0</v>
      </c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hidden="1" customHeight="1" outlineLevel="1">
      <c r="A458" s="5">
        <v>44813.0</v>
      </c>
      <c r="B458" s="1">
        <v>180.0</v>
      </c>
      <c r="C458" s="1">
        <v>54.0</v>
      </c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hidden="1" customHeight="1" outlineLevel="1">
      <c r="A459" s="5">
        <v>44812.0</v>
      </c>
      <c r="B459" s="1">
        <v>179.0</v>
      </c>
      <c r="C459" s="1">
        <v>43.0</v>
      </c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hidden="1" customHeight="1" outlineLevel="1">
      <c r="A460" s="5">
        <v>44811.0</v>
      </c>
      <c r="B460" s="1">
        <v>179.0</v>
      </c>
      <c r="C460" s="1">
        <v>44.0</v>
      </c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hidden="1" customHeight="1" outlineLevel="1">
      <c r="A461" s="5">
        <v>44810.0</v>
      </c>
      <c r="B461" s="1">
        <v>180.0</v>
      </c>
      <c r="C461" s="1">
        <v>44.0</v>
      </c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hidden="1" customHeight="1" outlineLevel="1">
      <c r="A462" s="5">
        <v>44809.0</v>
      </c>
      <c r="B462" s="1">
        <v>180.0</v>
      </c>
      <c r="C462" s="1">
        <v>44.0</v>
      </c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hidden="1" customHeight="1" outlineLevel="1">
      <c r="A463" s="5">
        <v>44806.0</v>
      </c>
      <c r="B463" s="1">
        <v>179.0</v>
      </c>
      <c r="C463" s="1">
        <v>44.0</v>
      </c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hidden="1" customHeight="1" outlineLevel="1">
      <c r="A464" s="5">
        <v>44805.0</v>
      </c>
      <c r="B464" s="1">
        <v>181.0</v>
      </c>
      <c r="C464" s="1">
        <v>42.0</v>
      </c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hidden="1" customHeight="1" outlineLevel="1">
      <c r="A465" s="5">
        <v>44804.0</v>
      </c>
      <c r="B465" s="1">
        <v>185.0</v>
      </c>
      <c r="C465" s="1">
        <v>43.0</v>
      </c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hidden="1" customHeight="1" outlineLevel="1">
      <c r="A466" s="5">
        <v>44803.0</v>
      </c>
      <c r="B466" s="1">
        <v>181.0</v>
      </c>
      <c r="C466" s="1">
        <v>42.0</v>
      </c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hidden="1" customHeight="1" outlineLevel="1">
      <c r="A467" s="5">
        <v>44802.0</v>
      </c>
      <c r="B467" s="1">
        <v>183.0</v>
      </c>
      <c r="C467" s="1">
        <v>42.0</v>
      </c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hidden="1" customHeight="1" outlineLevel="1">
      <c r="A468" s="5">
        <v>44799.0</v>
      </c>
      <c r="B468" s="1">
        <v>182.0</v>
      </c>
      <c r="C468" s="1">
        <v>42.0</v>
      </c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hidden="1" customHeight="1" outlineLevel="1">
      <c r="A469" s="5">
        <v>44798.0</v>
      </c>
      <c r="B469" s="1">
        <v>182.0</v>
      </c>
      <c r="C469" s="1">
        <v>42.0</v>
      </c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hidden="1" customHeight="1" outlineLevel="1">
      <c r="A470" s="5">
        <v>44797.0</v>
      </c>
      <c r="B470" s="1">
        <v>181.0</v>
      </c>
      <c r="C470" s="1">
        <v>43.0</v>
      </c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hidden="1" customHeight="1" outlineLevel="1">
      <c r="A471" s="5">
        <v>44796.0</v>
      </c>
      <c r="B471" s="1">
        <v>183.0</v>
      </c>
      <c r="C471" s="1">
        <v>45.0</v>
      </c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hidden="1" customHeight="1" outlineLevel="1">
      <c r="A472" s="5">
        <v>44795.0</v>
      </c>
      <c r="B472" s="1">
        <v>182.0</v>
      </c>
      <c r="C472" s="1">
        <v>47.0</v>
      </c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hidden="1" customHeight="1" outlineLevel="1">
      <c r="A473" s="5">
        <v>44792.0</v>
      </c>
      <c r="B473" s="1">
        <v>185.0</v>
      </c>
      <c r="C473" s="1">
        <v>55.0</v>
      </c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hidden="1" customHeight="1" outlineLevel="1">
      <c r="A474" s="5">
        <v>44791.0</v>
      </c>
      <c r="B474" s="1">
        <v>184.0</v>
      </c>
      <c r="C474" s="1">
        <v>56.0</v>
      </c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hidden="1" customHeight="1" outlineLevel="1">
      <c r="A475" s="5">
        <v>44790.0</v>
      </c>
      <c r="B475" s="1">
        <v>183.0</v>
      </c>
      <c r="C475" s="1">
        <v>51.0</v>
      </c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hidden="1" customHeight="1" outlineLevel="1">
      <c r="A476" s="5">
        <v>44789.0</v>
      </c>
      <c r="B476" s="1">
        <v>183.0</v>
      </c>
      <c r="C476" s="1">
        <v>52.0</v>
      </c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hidden="1" customHeight="1" outlineLevel="1">
      <c r="A477" s="5">
        <v>44788.0</v>
      </c>
      <c r="B477" s="1">
        <v>181.0</v>
      </c>
      <c r="C477" s="1">
        <v>51.0</v>
      </c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hidden="1" customHeight="1" outlineLevel="1">
      <c r="A478" s="5">
        <v>44785.0</v>
      </c>
      <c r="B478" s="1">
        <v>180.0</v>
      </c>
      <c r="C478" s="1">
        <v>52.0</v>
      </c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hidden="1" customHeight="1" outlineLevel="1">
      <c r="A479" s="5">
        <v>44783.0</v>
      </c>
      <c r="B479" s="1">
        <v>179.0</v>
      </c>
      <c r="C479" s="1">
        <v>51.0</v>
      </c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hidden="1" customHeight="1" outlineLevel="1">
      <c r="A480" s="5">
        <v>44782.0</v>
      </c>
      <c r="B480" s="1">
        <v>181.0</v>
      </c>
      <c r="C480" s="1">
        <v>52.0</v>
      </c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hidden="1" customHeight="1" outlineLevel="1">
      <c r="A481" s="5">
        <v>44781.0</v>
      </c>
      <c r="B481" s="1">
        <v>181.0</v>
      </c>
      <c r="C481" s="1">
        <v>50.0</v>
      </c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hidden="1" customHeight="1" outlineLevel="1">
      <c r="A482" s="5">
        <v>44778.0</v>
      </c>
      <c r="B482" s="1">
        <v>196.0</v>
      </c>
      <c r="C482" s="1">
        <v>52.0</v>
      </c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hidden="1" customHeight="1" outlineLevel="1">
      <c r="A483" s="5">
        <v>44777.0</v>
      </c>
      <c r="B483" s="1">
        <v>198.0</v>
      </c>
      <c r="C483" s="1">
        <v>53.0</v>
      </c>
      <c r="D483" s="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hidden="1" customHeight="1" outlineLevel="1">
      <c r="A484" s="5">
        <v>44776.0</v>
      </c>
      <c r="B484" s="1">
        <v>196.0</v>
      </c>
      <c r="C484" s="1">
        <v>53.0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hidden="1" customHeight="1" outlineLevel="1">
      <c r="A485" s="5">
        <v>44775.0</v>
      </c>
      <c r="B485" s="1">
        <v>196.0</v>
      </c>
      <c r="C485" s="1">
        <v>53.0</v>
      </c>
      <c r="D485" s="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hidden="1" customHeight="1" outlineLevel="1">
      <c r="A486" s="5">
        <v>44774.0</v>
      </c>
      <c r="B486" s="1">
        <v>196.0</v>
      </c>
      <c r="C486" s="1">
        <v>53.0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collapsed="1">
      <c r="A487" s="5">
        <v>44771.0</v>
      </c>
      <c r="B487" s="1">
        <v>193.0</v>
      </c>
      <c r="C487" s="1">
        <v>53.0</v>
      </c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">
        <v>44770.0</v>
      </c>
      <c r="B488" s="1">
        <v>191.0</v>
      </c>
      <c r="C488" s="1">
        <v>54.0</v>
      </c>
      <c r="D488" s="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">
        <v>44769.0</v>
      </c>
      <c r="B489" s="1">
        <v>192.0</v>
      </c>
      <c r="C489" s="1">
        <v>54.0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">
        <v>44768.0</v>
      </c>
      <c r="B490" s="1">
        <v>195.0</v>
      </c>
      <c r="C490" s="1">
        <v>54.0</v>
      </c>
      <c r="D490" s="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">
        <v>44767.0</v>
      </c>
      <c r="B491" s="1">
        <v>191.0</v>
      </c>
      <c r="C491" s="1">
        <v>53.0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">
        <v>44764.0</v>
      </c>
      <c r="B492" s="1">
        <v>197.0</v>
      </c>
      <c r="C492" s="1">
        <v>54.0</v>
      </c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">
        <v>44763.0</v>
      </c>
      <c r="B493" s="1">
        <v>200.0</v>
      </c>
      <c r="C493" s="1">
        <v>54.0</v>
      </c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">
        <v>44762.0</v>
      </c>
      <c r="B494" s="1">
        <v>183.0</v>
      </c>
      <c r="C494" s="1">
        <v>53.0</v>
      </c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D3:D4"/>
    <mergeCell ref="D5:D6"/>
    <mergeCell ref="D8:D9"/>
    <mergeCell ref="D10:D11"/>
    <mergeCell ref="D483:D484"/>
    <mergeCell ref="D485:D486"/>
    <mergeCell ref="D488:D489"/>
    <mergeCell ref="D490:D49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14"/>
    <col customWidth="1" min="3" max="3" width="12.29"/>
    <col customWidth="1" min="4" max="4" width="12.71"/>
    <col customWidth="1" min="5" max="5" width="15.29"/>
    <col customWidth="1" min="6" max="6" width="12.43"/>
    <col customWidth="1" min="7" max="7" width="11.71"/>
    <col customWidth="1" min="8" max="8" width="15.86"/>
    <col customWidth="1" min="9" max="9" width="8.86"/>
    <col customWidth="1" min="10" max="10" width="9.14"/>
    <col customWidth="1" min="11" max="26" width="15.86"/>
  </cols>
  <sheetData>
    <row r="1" ht="24.75" customHeight="1">
      <c r="A1" s="11" t="s">
        <v>3</v>
      </c>
      <c r="B1" s="12" t="str">
        <f t="shared" ref="B1:C1" si="1">F1</f>
        <v>終値</v>
      </c>
      <c r="C1" s="13" t="str">
        <f t="shared" si="1"/>
        <v>終値</v>
      </c>
      <c r="D1" s="14" t="s">
        <v>4</v>
      </c>
      <c r="E1" s="15"/>
      <c r="F1" s="16" t="str">
        <f>'相関係数'!B1</f>
        <v>終値</v>
      </c>
      <c r="G1" s="16" t="str">
        <f>'相関係数'!C1</f>
        <v>終値</v>
      </c>
      <c r="H1" s="17" t="s">
        <v>5</v>
      </c>
      <c r="I1" s="18">
        <v>1.0</v>
      </c>
      <c r="J1" s="18">
        <v>1.0</v>
      </c>
      <c r="T1" s="19" t="s">
        <v>3</v>
      </c>
      <c r="U1" s="19" t="s">
        <v>4</v>
      </c>
      <c r="V1" s="20" t="str">
        <f t="shared" ref="V1:W1" si="2">F1</f>
        <v>終値</v>
      </c>
      <c r="W1" s="20" t="str">
        <f t="shared" si="2"/>
        <v>終値</v>
      </c>
    </row>
    <row r="2" ht="18.75" customHeight="1">
      <c r="A2" s="21">
        <f t="shared" ref="A2:A494" si="4">E2</f>
        <v>45495</v>
      </c>
      <c r="B2" s="22">
        <f t="shared" ref="B2:B494" si="5">F2*$I$1</f>
        <v>200</v>
      </c>
      <c r="C2" s="22">
        <f t="shared" ref="C2:C494" si="6">G2*$J$1</f>
        <v>100</v>
      </c>
      <c r="D2" s="23">
        <f t="shared" ref="D2:D494" si="7">B2-C2</f>
        <v>100</v>
      </c>
      <c r="E2" s="24">
        <f>'相関係数'!A2</f>
        <v>45495</v>
      </c>
      <c r="F2" s="25">
        <f>'相関係数'!B2</f>
        <v>200</v>
      </c>
      <c r="G2" s="25">
        <f>'相関係数'!C2</f>
        <v>100</v>
      </c>
      <c r="J2" s="26">
        <v>3.0</v>
      </c>
      <c r="Q2" s="27" t="s">
        <v>6</v>
      </c>
      <c r="R2" s="28">
        <f>IF(ISERROR(CORREL(W2:W1274,V2:V1274)),"",CORREL(W2:W1274,V2:V1274))</f>
        <v>0.6624954915</v>
      </c>
      <c r="T2" s="29">
        <f>A494</f>
        <v>44762</v>
      </c>
      <c r="U2" s="20">
        <f>D494</f>
        <v>130</v>
      </c>
      <c r="V2" s="30">
        <f t="shared" ref="V2:W2" si="3">B494</f>
        <v>183</v>
      </c>
      <c r="W2" s="20">
        <f t="shared" si="3"/>
        <v>53</v>
      </c>
    </row>
    <row r="3" ht="18.75" customHeight="1">
      <c r="A3" s="21">
        <f t="shared" si="4"/>
        <v>45492</v>
      </c>
      <c r="B3" s="22">
        <f t="shared" si="5"/>
        <v>196</v>
      </c>
      <c r="C3" s="22">
        <f t="shared" si="6"/>
        <v>145</v>
      </c>
      <c r="D3" s="23">
        <f t="shared" si="7"/>
        <v>51</v>
      </c>
      <c r="E3" s="24">
        <f>'相関係数'!A3</f>
        <v>45492</v>
      </c>
      <c r="F3" s="25">
        <f>'相関係数'!B3</f>
        <v>196</v>
      </c>
      <c r="G3" s="25">
        <f>'相関係数'!C3</f>
        <v>145</v>
      </c>
      <c r="Q3" s="27" t="s">
        <v>7</v>
      </c>
      <c r="R3" s="31">
        <f>IF(ISERROR(AVERAGE(U2:U1274)),"",AVERAGE(U2:U1274))</f>
        <v>127.0162272</v>
      </c>
      <c r="T3" s="29">
        <f>A493</f>
        <v>44763</v>
      </c>
      <c r="U3" s="20">
        <f>D493</f>
        <v>146</v>
      </c>
      <c r="V3" s="30">
        <f t="shared" ref="V3:W3" si="8">B493</f>
        <v>200</v>
      </c>
      <c r="W3" s="20">
        <f t="shared" si="8"/>
        <v>54</v>
      </c>
    </row>
    <row r="4" ht="18.75" customHeight="1">
      <c r="A4" s="21">
        <f t="shared" si="4"/>
        <v>45491</v>
      </c>
      <c r="B4" s="22">
        <f t="shared" si="5"/>
        <v>200</v>
      </c>
      <c r="C4" s="22">
        <f t="shared" si="6"/>
        <v>125</v>
      </c>
      <c r="D4" s="23">
        <f t="shared" si="7"/>
        <v>75</v>
      </c>
      <c r="E4" s="24">
        <f>'相関係数'!A4</f>
        <v>45491</v>
      </c>
      <c r="F4" s="25">
        <f>'相関係数'!B4</f>
        <v>200</v>
      </c>
      <c r="G4" s="25">
        <f>'相関係数'!C4</f>
        <v>125</v>
      </c>
      <c r="Q4" s="27" t="s">
        <v>8</v>
      </c>
      <c r="R4" s="32">
        <f>IF(ISERROR(STDEV(U2:U1274)),"",STDEV(U2:U1274))</f>
        <v>23.71142011</v>
      </c>
      <c r="T4" s="29">
        <f>A492</f>
        <v>44764</v>
      </c>
      <c r="U4" s="20">
        <f>D492</f>
        <v>143</v>
      </c>
      <c r="V4" s="30">
        <f t="shared" ref="V4:W4" si="9">B492</f>
        <v>197</v>
      </c>
      <c r="W4" s="20">
        <f t="shared" si="9"/>
        <v>54</v>
      </c>
    </row>
    <row r="5" ht="18.75" customHeight="1">
      <c r="A5" s="21">
        <f t="shared" si="4"/>
        <v>45490</v>
      </c>
      <c r="B5" s="22">
        <f t="shared" si="5"/>
        <v>204</v>
      </c>
      <c r="C5" s="22">
        <f t="shared" si="6"/>
        <v>129</v>
      </c>
      <c r="D5" s="23">
        <f t="shared" si="7"/>
        <v>75</v>
      </c>
      <c r="E5" s="24">
        <f>'相関係数'!A5</f>
        <v>45490</v>
      </c>
      <c r="F5" s="25">
        <f>'相関係数'!B5</f>
        <v>204</v>
      </c>
      <c r="G5" s="25">
        <f>'相関係数'!C5</f>
        <v>129</v>
      </c>
      <c r="Q5" s="33" t="s">
        <v>9</v>
      </c>
      <c r="R5" s="32">
        <f>IF(ISERROR(R3+R4*2),"",R3+R4*2)</f>
        <v>174.4390674</v>
      </c>
      <c r="T5" s="29">
        <f>A491</f>
        <v>44767</v>
      </c>
      <c r="U5" s="20">
        <f>D491</f>
        <v>138</v>
      </c>
      <c r="V5" s="30">
        <f t="shared" ref="V5:W5" si="10">B491</f>
        <v>191</v>
      </c>
      <c r="W5" s="20">
        <f t="shared" si="10"/>
        <v>53</v>
      </c>
    </row>
    <row r="6" ht="18.75" customHeight="1">
      <c r="A6" s="21">
        <f t="shared" si="4"/>
        <v>45489</v>
      </c>
      <c r="B6" s="22">
        <f t="shared" si="5"/>
        <v>203</v>
      </c>
      <c r="C6" s="22">
        <f t="shared" si="6"/>
        <v>102</v>
      </c>
      <c r="D6" s="23">
        <f t="shared" si="7"/>
        <v>101</v>
      </c>
      <c r="E6" s="24">
        <f>'相関係数'!A6</f>
        <v>45489</v>
      </c>
      <c r="F6" s="25">
        <f>'相関係数'!B6</f>
        <v>203</v>
      </c>
      <c r="G6" s="25">
        <f>'相関係数'!C6</f>
        <v>102</v>
      </c>
      <c r="Q6" s="33" t="s">
        <v>10</v>
      </c>
      <c r="R6" s="32">
        <f>IF(ISERROR(R3+R4),"",R3+R4)</f>
        <v>150.7276473</v>
      </c>
      <c r="T6" s="29">
        <f>A490</f>
        <v>44768</v>
      </c>
      <c r="U6" s="20">
        <f>D490</f>
        <v>141</v>
      </c>
      <c r="V6" s="30">
        <f t="shared" ref="V6:W6" si="11">B490</f>
        <v>195</v>
      </c>
      <c r="W6" s="20">
        <f t="shared" si="11"/>
        <v>54</v>
      </c>
    </row>
    <row r="7" ht="18.75" customHeight="1">
      <c r="A7" s="21">
        <f t="shared" si="4"/>
        <v>45485</v>
      </c>
      <c r="B7" s="22">
        <f t="shared" si="5"/>
        <v>205</v>
      </c>
      <c r="C7" s="22">
        <f t="shared" si="6"/>
        <v>93</v>
      </c>
      <c r="D7" s="23">
        <f t="shared" si="7"/>
        <v>112</v>
      </c>
      <c r="E7" s="24">
        <f>'相関係数'!A7</f>
        <v>45485</v>
      </c>
      <c r="F7" s="25">
        <f>'相関係数'!B7</f>
        <v>205</v>
      </c>
      <c r="G7" s="25">
        <f>'相関係数'!C7</f>
        <v>93</v>
      </c>
      <c r="Q7" s="33" t="s">
        <v>11</v>
      </c>
      <c r="R7" s="32">
        <f>IF(ISERROR(R3-R4),"",R3-R4)</f>
        <v>103.3048071</v>
      </c>
      <c r="T7" s="29">
        <f>A489</f>
        <v>44769</v>
      </c>
      <c r="U7" s="20">
        <f>D489</f>
        <v>138</v>
      </c>
      <c r="V7" s="30">
        <f t="shared" ref="V7:W7" si="12">B489</f>
        <v>192</v>
      </c>
      <c r="W7" s="20">
        <f t="shared" si="12"/>
        <v>54</v>
      </c>
    </row>
    <row r="8" ht="18.75" customHeight="1">
      <c r="A8" s="21">
        <f t="shared" si="4"/>
        <v>45484</v>
      </c>
      <c r="B8" s="22">
        <f t="shared" si="5"/>
        <v>203</v>
      </c>
      <c r="C8" s="22">
        <f t="shared" si="6"/>
        <v>95</v>
      </c>
      <c r="D8" s="23">
        <f t="shared" si="7"/>
        <v>108</v>
      </c>
      <c r="E8" s="24">
        <f>'相関係数'!A8</f>
        <v>45484</v>
      </c>
      <c r="F8" s="25">
        <f>'相関係数'!B8</f>
        <v>203</v>
      </c>
      <c r="G8" s="25">
        <f>'相関係数'!C8</f>
        <v>95</v>
      </c>
      <c r="Q8" s="33" t="s">
        <v>12</v>
      </c>
      <c r="R8" s="32">
        <f>IF(ISERROR(R3-R4*2),"",R3-R4*2)</f>
        <v>79.59338697</v>
      </c>
      <c r="T8" s="29">
        <f>A488</f>
        <v>44770</v>
      </c>
      <c r="U8" s="20">
        <f>D488</f>
        <v>137</v>
      </c>
      <c r="V8" s="30">
        <f t="shared" ref="V8:W8" si="13">B488</f>
        <v>191</v>
      </c>
      <c r="W8" s="20">
        <f t="shared" si="13"/>
        <v>54</v>
      </c>
    </row>
    <row r="9" ht="18.75" customHeight="1">
      <c r="A9" s="21">
        <f t="shared" si="4"/>
        <v>45483</v>
      </c>
      <c r="B9" s="22">
        <f t="shared" si="5"/>
        <v>203</v>
      </c>
      <c r="C9" s="22">
        <f t="shared" si="6"/>
        <v>88</v>
      </c>
      <c r="D9" s="23">
        <f t="shared" si="7"/>
        <v>115</v>
      </c>
      <c r="E9" s="24">
        <f>'相関係数'!A9</f>
        <v>45483</v>
      </c>
      <c r="F9" s="25">
        <f>'相関係数'!B9</f>
        <v>203</v>
      </c>
      <c r="G9" s="25">
        <f>'相関係数'!C9</f>
        <v>88</v>
      </c>
      <c r="T9" s="29">
        <f>A487</f>
        <v>44771</v>
      </c>
      <c r="U9" s="20">
        <f>D487</f>
        <v>140</v>
      </c>
      <c r="V9" s="30">
        <f t="shared" ref="V9:W9" si="14">B487</f>
        <v>193</v>
      </c>
      <c r="W9" s="20">
        <f t="shared" si="14"/>
        <v>53</v>
      </c>
    </row>
    <row r="10" ht="18.75" customHeight="1">
      <c r="A10" s="21">
        <f t="shared" si="4"/>
        <v>45482</v>
      </c>
      <c r="B10" s="22">
        <f t="shared" si="5"/>
        <v>209</v>
      </c>
      <c r="C10" s="22">
        <f t="shared" si="6"/>
        <v>87</v>
      </c>
      <c r="D10" s="23">
        <f t="shared" si="7"/>
        <v>122</v>
      </c>
      <c r="E10" s="24">
        <f>'相関係数'!A10</f>
        <v>45482</v>
      </c>
      <c r="F10" s="25">
        <f>'相関係数'!B10</f>
        <v>209</v>
      </c>
      <c r="G10" s="25">
        <f>'相関係数'!C10</f>
        <v>87</v>
      </c>
      <c r="T10" s="29">
        <f>A486</f>
        <v>44774</v>
      </c>
      <c r="U10" s="20">
        <f>D486</f>
        <v>143</v>
      </c>
      <c r="V10" s="30">
        <f t="shared" ref="V10:W10" si="15">B486</f>
        <v>196</v>
      </c>
      <c r="W10" s="20">
        <f t="shared" si="15"/>
        <v>53</v>
      </c>
    </row>
    <row r="11" ht="18.75" customHeight="1">
      <c r="A11" s="21">
        <f t="shared" si="4"/>
        <v>45481</v>
      </c>
      <c r="B11" s="22">
        <f t="shared" si="5"/>
        <v>211</v>
      </c>
      <c r="C11" s="22">
        <f t="shared" si="6"/>
        <v>80</v>
      </c>
      <c r="D11" s="23">
        <f t="shared" si="7"/>
        <v>131</v>
      </c>
      <c r="E11" s="24">
        <f>'相関係数'!A11</f>
        <v>45481</v>
      </c>
      <c r="F11" s="25">
        <f>'相関係数'!B11</f>
        <v>211</v>
      </c>
      <c r="G11" s="25">
        <f>'相関係数'!C11</f>
        <v>80</v>
      </c>
      <c r="T11" s="29">
        <f>A485</f>
        <v>44775</v>
      </c>
      <c r="U11" s="20">
        <f>D485</f>
        <v>143</v>
      </c>
      <c r="V11" s="30">
        <f t="shared" ref="V11:W11" si="16">B485</f>
        <v>196</v>
      </c>
      <c r="W11" s="20">
        <f t="shared" si="16"/>
        <v>53</v>
      </c>
    </row>
    <row r="12" ht="18.75" customHeight="1">
      <c r="A12" s="21">
        <f t="shared" si="4"/>
        <v>45478</v>
      </c>
      <c r="B12" s="22">
        <f t="shared" si="5"/>
        <v>212</v>
      </c>
      <c r="C12" s="22">
        <f t="shared" si="6"/>
        <v>80</v>
      </c>
      <c r="D12" s="23">
        <f t="shared" si="7"/>
        <v>132</v>
      </c>
      <c r="E12" s="24">
        <f>'相関係数'!A12</f>
        <v>45478</v>
      </c>
      <c r="F12" s="25">
        <f>'相関係数'!B12</f>
        <v>212</v>
      </c>
      <c r="G12" s="25">
        <f>'相関係数'!C12</f>
        <v>80</v>
      </c>
      <c r="T12" s="29">
        <f>A484</f>
        <v>44776</v>
      </c>
      <c r="U12" s="20">
        <f>D484</f>
        <v>143</v>
      </c>
      <c r="V12" s="30">
        <f t="shared" ref="V12:W12" si="17">B484</f>
        <v>196</v>
      </c>
      <c r="W12" s="20">
        <f t="shared" si="17"/>
        <v>53</v>
      </c>
    </row>
    <row r="13" ht="18.75" customHeight="1">
      <c r="A13" s="21">
        <f t="shared" si="4"/>
        <v>45477</v>
      </c>
      <c r="B13" s="22">
        <f t="shared" si="5"/>
        <v>209</v>
      </c>
      <c r="C13" s="22">
        <f t="shared" si="6"/>
        <v>80</v>
      </c>
      <c r="D13" s="23">
        <f t="shared" si="7"/>
        <v>129</v>
      </c>
      <c r="E13" s="24">
        <f>'相関係数'!A13</f>
        <v>45477</v>
      </c>
      <c r="F13" s="25">
        <f>'相関係数'!B13</f>
        <v>209</v>
      </c>
      <c r="G13" s="25">
        <f>'相関係数'!C13</f>
        <v>80</v>
      </c>
      <c r="T13" s="29">
        <f>A483</f>
        <v>44777</v>
      </c>
      <c r="U13" s="20">
        <f>D483</f>
        <v>145</v>
      </c>
      <c r="V13" s="30">
        <f t="shared" ref="V13:W13" si="18">B483</f>
        <v>198</v>
      </c>
      <c r="W13" s="20">
        <f t="shared" si="18"/>
        <v>53</v>
      </c>
    </row>
    <row r="14" ht="18.75" customHeight="1">
      <c r="A14" s="21">
        <f t="shared" si="4"/>
        <v>45476</v>
      </c>
      <c r="B14" s="22">
        <f t="shared" si="5"/>
        <v>213</v>
      </c>
      <c r="C14" s="22">
        <f t="shared" si="6"/>
        <v>85</v>
      </c>
      <c r="D14" s="23">
        <f t="shared" si="7"/>
        <v>128</v>
      </c>
      <c r="E14" s="24">
        <f>'相関係数'!A14</f>
        <v>45476</v>
      </c>
      <c r="F14" s="25">
        <f>'相関係数'!B14</f>
        <v>213</v>
      </c>
      <c r="G14" s="25">
        <f>'相関係数'!C14</f>
        <v>85</v>
      </c>
      <c r="T14" s="29">
        <f>A482</f>
        <v>44778</v>
      </c>
      <c r="U14" s="20">
        <f>D482</f>
        <v>144</v>
      </c>
      <c r="V14" s="30">
        <f t="shared" ref="V14:W14" si="19">B482</f>
        <v>196</v>
      </c>
      <c r="W14" s="20">
        <f t="shared" si="19"/>
        <v>52</v>
      </c>
    </row>
    <row r="15" ht="18.75" customHeight="1">
      <c r="A15" s="21">
        <f t="shared" si="4"/>
        <v>45475</v>
      </c>
      <c r="B15" s="22">
        <f t="shared" si="5"/>
        <v>206</v>
      </c>
      <c r="C15" s="22">
        <f t="shared" si="6"/>
        <v>90</v>
      </c>
      <c r="D15" s="23">
        <f t="shared" si="7"/>
        <v>116</v>
      </c>
      <c r="E15" s="24">
        <f>'相関係数'!A15</f>
        <v>45475</v>
      </c>
      <c r="F15" s="25">
        <f>'相関係数'!B15</f>
        <v>206</v>
      </c>
      <c r="G15" s="25">
        <f>'相関係数'!C15</f>
        <v>90</v>
      </c>
      <c r="T15" s="29">
        <f>A481</f>
        <v>44781</v>
      </c>
      <c r="U15" s="20">
        <f>D481</f>
        <v>131</v>
      </c>
      <c r="V15" s="30">
        <f t="shared" ref="V15:W15" si="20">B481</f>
        <v>181</v>
      </c>
      <c r="W15" s="20">
        <f t="shared" si="20"/>
        <v>50</v>
      </c>
    </row>
    <row r="16" ht="18.75" customHeight="1">
      <c r="A16" s="21">
        <f t="shared" si="4"/>
        <v>45474</v>
      </c>
      <c r="B16" s="22">
        <f t="shared" si="5"/>
        <v>206</v>
      </c>
      <c r="C16" s="22">
        <f t="shared" si="6"/>
        <v>100</v>
      </c>
      <c r="D16" s="23">
        <f t="shared" si="7"/>
        <v>106</v>
      </c>
      <c r="E16" s="24">
        <f>'相関係数'!A16</f>
        <v>45474</v>
      </c>
      <c r="F16" s="25">
        <f>'相関係数'!B16</f>
        <v>206</v>
      </c>
      <c r="G16" s="25">
        <f>'相関係数'!C16</f>
        <v>100</v>
      </c>
      <c r="T16" s="29">
        <f>A480</f>
        <v>44782</v>
      </c>
      <c r="U16" s="20">
        <f>D480</f>
        <v>129</v>
      </c>
      <c r="V16" s="30">
        <f t="shared" ref="V16:W16" si="21">B480</f>
        <v>181</v>
      </c>
      <c r="W16" s="20">
        <f t="shared" si="21"/>
        <v>52</v>
      </c>
    </row>
    <row r="17" ht="18.75" customHeight="1">
      <c r="A17" s="21">
        <f t="shared" si="4"/>
        <v>45471</v>
      </c>
      <c r="B17" s="22">
        <f t="shared" si="5"/>
        <v>217</v>
      </c>
      <c r="C17" s="22">
        <f t="shared" si="6"/>
        <v>99</v>
      </c>
      <c r="D17" s="23">
        <f t="shared" si="7"/>
        <v>118</v>
      </c>
      <c r="E17" s="24">
        <f>'相関係数'!A17</f>
        <v>45471</v>
      </c>
      <c r="F17" s="25">
        <f>'相関係数'!B17</f>
        <v>217</v>
      </c>
      <c r="G17" s="25">
        <f>'相関係数'!C17</f>
        <v>99</v>
      </c>
      <c r="T17" s="29">
        <f>A479</f>
        <v>44783</v>
      </c>
      <c r="U17" s="20">
        <f>D479</f>
        <v>128</v>
      </c>
      <c r="V17" s="30">
        <f t="shared" ref="V17:W17" si="22">B479</f>
        <v>179</v>
      </c>
      <c r="W17" s="20">
        <f t="shared" si="22"/>
        <v>51</v>
      </c>
    </row>
    <row r="18" ht="18.75" customHeight="1">
      <c r="A18" s="21">
        <f t="shared" si="4"/>
        <v>45470</v>
      </c>
      <c r="B18" s="22">
        <f t="shared" si="5"/>
        <v>220</v>
      </c>
      <c r="C18" s="22">
        <f t="shared" si="6"/>
        <v>103</v>
      </c>
      <c r="D18" s="23">
        <f t="shared" si="7"/>
        <v>117</v>
      </c>
      <c r="E18" s="24">
        <f>'相関係数'!A18</f>
        <v>45470</v>
      </c>
      <c r="F18" s="25">
        <f>'相関係数'!B18</f>
        <v>220</v>
      </c>
      <c r="G18" s="25">
        <f>'相関係数'!C18</f>
        <v>103</v>
      </c>
      <c r="T18" s="29">
        <f>A478</f>
        <v>44785</v>
      </c>
      <c r="U18" s="20">
        <f>D478</f>
        <v>128</v>
      </c>
      <c r="V18" s="30">
        <f t="shared" ref="V18:W18" si="23">B478</f>
        <v>180</v>
      </c>
      <c r="W18" s="20">
        <f t="shared" si="23"/>
        <v>52</v>
      </c>
    </row>
    <row r="19" ht="18.75" customHeight="1">
      <c r="A19" s="21">
        <f t="shared" si="4"/>
        <v>45469</v>
      </c>
      <c r="B19" s="22">
        <f t="shared" si="5"/>
        <v>224</v>
      </c>
      <c r="C19" s="22">
        <f t="shared" si="6"/>
        <v>100</v>
      </c>
      <c r="D19" s="23">
        <f t="shared" si="7"/>
        <v>124</v>
      </c>
      <c r="E19" s="24">
        <f>'相関係数'!A19</f>
        <v>45469</v>
      </c>
      <c r="F19" s="25">
        <f>'相関係数'!B19</f>
        <v>224</v>
      </c>
      <c r="G19" s="25">
        <f>'相関係数'!C19</f>
        <v>100</v>
      </c>
      <c r="T19" s="29">
        <f>A477</f>
        <v>44788</v>
      </c>
      <c r="U19" s="20">
        <f>D477</f>
        <v>130</v>
      </c>
      <c r="V19" s="30">
        <f t="shared" ref="V19:W19" si="24">B477</f>
        <v>181</v>
      </c>
      <c r="W19" s="20">
        <f t="shared" si="24"/>
        <v>51</v>
      </c>
    </row>
    <row r="20" ht="18.75" customHeight="1">
      <c r="A20" s="21">
        <f t="shared" si="4"/>
        <v>45468</v>
      </c>
      <c r="B20" s="22">
        <f t="shared" si="5"/>
        <v>230</v>
      </c>
      <c r="C20" s="22">
        <f t="shared" si="6"/>
        <v>95</v>
      </c>
      <c r="D20" s="23">
        <f t="shared" si="7"/>
        <v>135</v>
      </c>
      <c r="E20" s="24">
        <f>'相関係数'!A20</f>
        <v>45468</v>
      </c>
      <c r="F20" s="25">
        <f>'相関係数'!B20</f>
        <v>230</v>
      </c>
      <c r="G20" s="25">
        <f>'相関係数'!C20</f>
        <v>95</v>
      </c>
      <c r="T20" s="29">
        <f>A476</f>
        <v>44789</v>
      </c>
      <c r="U20" s="20">
        <f>D476</f>
        <v>131</v>
      </c>
      <c r="V20" s="30">
        <f t="shared" ref="V20:W20" si="25">B476</f>
        <v>183</v>
      </c>
      <c r="W20" s="20">
        <f t="shared" si="25"/>
        <v>52</v>
      </c>
    </row>
    <row r="21" ht="18.75" customHeight="1">
      <c r="A21" s="21">
        <f t="shared" si="4"/>
        <v>45467</v>
      </c>
      <c r="B21" s="22">
        <f t="shared" si="5"/>
        <v>231</v>
      </c>
      <c r="C21" s="22">
        <f t="shared" si="6"/>
        <v>95</v>
      </c>
      <c r="D21" s="23">
        <f t="shared" si="7"/>
        <v>136</v>
      </c>
      <c r="E21" s="24">
        <f>'相関係数'!A21</f>
        <v>45467</v>
      </c>
      <c r="F21" s="25">
        <f>'相関係数'!B21</f>
        <v>231</v>
      </c>
      <c r="G21" s="25">
        <f>'相関係数'!C21</f>
        <v>95</v>
      </c>
      <c r="T21" s="29">
        <f>A475</f>
        <v>44790</v>
      </c>
      <c r="U21" s="20">
        <f>D475</f>
        <v>132</v>
      </c>
      <c r="V21" s="30">
        <f t="shared" ref="V21:W21" si="26">B475</f>
        <v>183</v>
      </c>
      <c r="W21" s="20">
        <f t="shared" si="26"/>
        <v>51</v>
      </c>
    </row>
    <row r="22" ht="18.75" customHeight="1">
      <c r="A22" s="21">
        <f t="shared" si="4"/>
        <v>45464</v>
      </c>
      <c r="B22" s="22">
        <f t="shared" si="5"/>
        <v>226</v>
      </c>
      <c r="C22" s="22">
        <f t="shared" si="6"/>
        <v>87</v>
      </c>
      <c r="D22" s="23">
        <f t="shared" si="7"/>
        <v>139</v>
      </c>
      <c r="E22" s="24">
        <f>'相関係数'!A22</f>
        <v>45464</v>
      </c>
      <c r="F22" s="25">
        <f>'相関係数'!B22</f>
        <v>226</v>
      </c>
      <c r="G22" s="25">
        <f>'相関係数'!C22</f>
        <v>87</v>
      </c>
      <c r="T22" s="29">
        <f>A474</f>
        <v>44791</v>
      </c>
      <c r="U22" s="20">
        <f>D474</f>
        <v>128</v>
      </c>
      <c r="V22" s="30">
        <f t="shared" ref="V22:W22" si="27">B474</f>
        <v>184</v>
      </c>
      <c r="W22" s="20">
        <f t="shared" si="27"/>
        <v>56</v>
      </c>
    </row>
    <row r="23" ht="18.75" customHeight="1">
      <c r="A23" s="21">
        <f t="shared" si="4"/>
        <v>45463</v>
      </c>
      <c r="B23" s="22">
        <f t="shared" si="5"/>
        <v>220</v>
      </c>
      <c r="C23" s="22">
        <f t="shared" si="6"/>
        <v>81</v>
      </c>
      <c r="D23" s="23">
        <f t="shared" si="7"/>
        <v>139</v>
      </c>
      <c r="E23" s="24">
        <f>'相関係数'!A23</f>
        <v>45463</v>
      </c>
      <c r="F23" s="25">
        <f>'相関係数'!B23</f>
        <v>220</v>
      </c>
      <c r="G23" s="25">
        <f>'相関係数'!C23</f>
        <v>81</v>
      </c>
      <c r="T23" s="29">
        <f>A473</f>
        <v>44792</v>
      </c>
      <c r="U23" s="20">
        <f>D473</f>
        <v>130</v>
      </c>
      <c r="V23" s="30">
        <f t="shared" ref="V23:W23" si="28">B473</f>
        <v>185</v>
      </c>
      <c r="W23" s="20">
        <f t="shared" si="28"/>
        <v>55</v>
      </c>
    </row>
    <row r="24" ht="18.75" customHeight="1">
      <c r="A24" s="21">
        <f t="shared" si="4"/>
        <v>45462</v>
      </c>
      <c r="B24" s="22">
        <f t="shared" si="5"/>
        <v>222</v>
      </c>
      <c r="C24" s="22">
        <f t="shared" si="6"/>
        <v>83</v>
      </c>
      <c r="D24" s="23">
        <f t="shared" si="7"/>
        <v>139</v>
      </c>
      <c r="E24" s="24">
        <f>'相関係数'!A24</f>
        <v>45462</v>
      </c>
      <c r="F24" s="25">
        <f>'相関係数'!B24</f>
        <v>222</v>
      </c>
      <c r="G24" s="25">
        <f>'相関係数'!C24</f>
        <v>83</v>
      </c>
      <c r="T24" s="29">
        <f>A472</f>
        <v>44795</v>
      </c>
      <c r="U24" s="20">
        <f>D472</f>
        <v>135</v>
      </c>
      <c r="V24" s="30">
        <f t="shared" ref="V24:W24" si="29">B472</f>
        <v>182</v>
      </c>
      <c r="W24" s="20">
        <f t="shared" si="29"/>
        <v>47</v>
      </c>
    </row>
    <row r="25" ht="18.75" customHeight="1">
      <c r="A25" s="21">
        <f t="shared" si="4"/>
        <v>45461</v>
      </c>
      <c r="B25" s="22">
        <f t="shared" si="5"/>
        <v>219</v>
      </c>
      <c r="C25" s="22">
        <f t="shared" si="6"/>
        <v>84</v>
      </c>
      <c r="D25" s="23">
        <f t="shared" si="7"/>
        <v>135</v>
      </c>
      <c r="E25" s="24">
        <f>'相関係数'!A25</f>
        <v>45461</v>
      </c>
      <c r="F25" s="25">
        <f>'相関係数'!B25</f>
        <v>219</v>
      </c>
      <c r="G25" s="25">
        <f>'相関係数'!C25</f>
        <v>84</v>
      </c>
      <c r="T25" s="29">
        <f>A471</f>
        <v>44796</v>
      </c>
      <c r="U25" s="20">
        <f>D471</f>
        <v>138</v>
      </c>
      <c r="V25" s="30">
        <f t="shared" ref="V25:W25" si="30">B471</f>
        <v>183</v>
      </c>
      <c r="W25" s="20">
        <f t="shared" si="30"/>
        <v>45</v>
      </c>
    </row>
    <row r="26" ht="18.75" customHeight="1">
      <c r="A26" s="21">
        <f t="shared" si="4"/>
        <v>45460</v>
      </c>
      <c r="B26" s="22">
        <f t="shared" si="5"/>
        <v>218</v>
      </c>
      <c r="C26" s="22">
        <f t="shared" si="6"/>
        <v>89</v>
      </c>
      <c r="D26" s="23">
        <f t="shared" si="7"/>
        <v>129</v>
      </c>
      <c r="E26" s="24">
        <f>'相関係数'!A26</f>
        <v>45460</v>
      </c>
      <c r="F26" s="25">
        <f>'相関係数'!B26</f>
        <v>218</v>
      </c>
      <c r="G26" s="25">
        <f>'相関係数'!C26</f>
        <v>89</v>
      </c>
      <c r="T26" s="29">
        <f>A470</f>
        <v>44797</v>
      </c>
      <c r="U26" s="20">
        <f>D470</f>
        <v>138</v>
      </c>
      <c r="V26" s="30">
        <f t="shared" ref="V26:W26" si="31">B470</f>
        <v>181</v>
      </c>
      <c r="W26" s="20">
        <f t="shared" si="31"/>
        <v>43</v>
      </c>
    </row>
    <row r="27" ht="18.75" customHeight="1">
      <c r="A27" s="21">
        <f t="shared" si="4"/>
        <v>45457</v>
      </c>
      <c r="B27" s="22">
        <f t="shared" si="5"/>
        <v>221</v>
      </c>
      <c r="C27" s="22">
        <f t="shared" si="6"/>
        <v>90</v>
      </c>
      <c r="D27" s="23">
        <f t="shared" si="7"/>
        <v>131</v>
      </c>
      <c r="E27" s="24">
        <f>'相関係数'!A27</f>
        <v>45457</v>
      </c>
      <c r="F27" s="25">
        <f>'相関係数'!B27</f>
        <v>221</v>
      </c>
      <c r="G27" s="25">
        <f>'相関係数'!C27</f>
        <v>90</v>
      </c>
      <c r="T27" s="29">
        <f>A469</f>
        <v>44798</v>
      </c>
      <c r="U27" s="20">
        <f>D469</f>
        <v>140</v>
      </c>
      <c r="V27" s="30">
        <f t="shared" ref="V27:W27" si="32">B469</f>
        <v>182</v>
      </c>
      <c r="W27" s="20">
        <f t="shared" si="32"/>
        <v>42</v>
      </c>
    </row>
    <row r="28" ht="18.75" customHeight="1">
      <c r="A28" s="21">
        <f t="shared" si="4"/>
        <v>45456</v>
      </c>
      <c r="B28" s="22">
        <f t="shared" si="5"/>
        <v>230</v>
      </c>
      <c r="C28" s="22">
        <f t="shared" si="6"/>
        <v>95</v>
      </c>
      <c r="D28" s="23">
        <f t="shared" si="7"/>
        <v>135</v>
      </c>
      <c r="E28" s="24">
        <f>'相関係数'!A28</f>
        <v>45456</v>
      </c>
      <c r="F28" s="25">
        <f>'相関係数'!B28</f>
        <v>230</v>
      </c>
      <c r="G28" s="25">
        <f>'相関係数'!C28</f>
        <v>95</v>
      </c>
      <c r="T28" s="29">
        <f>A468</f>
        <v>44799</v>
      </c>
      <c r="U28" s="20">
        <f>D468</f>
        <v>140</v>
      </c>
      <c r="V28" s="30">
        <f t="shared" ref="V28:W28" si="33">B468</f>
        <v>182</v>
      </c>
      <c r="W28" s="20">
        <f t="shared" si="33"/>
        <v>42</v>
      </c>
    </row>
    <row r="29" ht="18.75" customHeight="1">
      <c r="A29" s="21">
        <f t="shared" si="4"/>
        <v>45455</v>
      </c>
      <c r="B29" s="22">
        <f t="shared" si="5"/>
        <v>219</v>
      </c>
      <c r="C29" s="22">
        <f t="shared" si="6"/>
        <v>107</v>
      </c>
      <c r="D29" s="23">
        <f t="shared" si="7"/>
        <v>112</v>
      </c>
      <c r="E29" s="24">
        <f>'相関係数'!A29</f>
        <v>45455</v>
      </c>
      <c r="F29" s="25">
        <f>'相関係数'!B29</f>
        <v>219</v>
      </c>
      <c r="G29" s="25">
        <f>'相関係数'!C29</f>
        <v>107</v>
      </c>
      <c r="T29" s="29">
        <f>A467</f>
        <v>44802</v>
      </c>
      <c r="U29" s="20">
        <f>D467</f>
        <v>141</v>
      </c>
      <c r="V29" s="30">
        <f t="shared" ref="V29:W29" si="34">B467</f>
        <v>183</v>
      </c>
      <c r="W29" s="20">
        <f t="shared" si="34"/>
        <v>42</v>
      </c>
    </row>
    <row r="30" ht="18.75" customHeight="1">
      <c r="A30" s="21">
        <f t="shared" si="4"/>
        <v>45454</v>
      </c>
      <c r="B30" s="22">
        <f t="shared" si="5"/>
        <v>216</v>
      </c>
      <c r="C30" s="22">
        <f t="shared" si="6"/>
        <v>89</v>
      </c>
      <c r="D30" s="23">
        <f t="shared" si="7"/>
        <v>127</v>
      </c>
      <c r="E30" s="24">
        <f>'相関係数'!A30</f>
        <v>45454</v>
      </c>
      <c r="F30" s="25">
        <f>'相関係数'!B30</f>
        <v>216</v>
      </c>
      <c r="G30" s="25">
        <f>'相関係数'!C30</f>
        <v>89</v>
      </c>
      <c r="T30" s="29">
        <f>A466</f>
        <v>44803</v>
      </c>
      <c r="U30" s="20">
        <f>D466</f>
        <v>139</v>
      </c>
      <c r="V30" s="30">
        <f t="shared" ref="V30:W30" si="35">B466</f>
        <v>181</v>
      </c>
      <c r="W30" s="20">
        <f t="shared" si="35"/>
        <v>42</v>
      </c>
    </row>
    <row r="31" ht="18.75" customHeight="1">
      <c r="A31" s="21">
        <f t="shared" si="4"/>
        <v>45453</v>
      </c>
      <c r="B31" s="22">
        <f t="shared" si="5"/>
        <v>216</v>
      </c>
      <c r="C31" s="22">
        <f t="shared" si="6"/>
        <v>81</v>
      </c>
      <c r="D31" s="23">
        <f t="shared" si="7"/>
        <v>135</v>
      </c>
      <c r="E31" s="24">
        <f>'相関係数'!A31</f>
        <v>45453</v>
      </c>
      <c r="F31" s="25">
        <f>'相関係数'!B31</f>
        <v>216</v>
      </c>
      <c r="G31" s="25">
        <f>'相関係数'!C31</f>
        <v>81</v>
      </c>
      <c r="T31" s="29">
        <f>A465</f>
        <v>44804</v>
      </c>
      <c r="U31" s="20">
        <f>D465</f>
        <v>142</v>
      </c>
      <c r="V31" s="30">
        <f t="shared" ref="V31:W31" si="36">B465</f>
        <v>185</v>
      </c>
      <c r="W31" s="20">
        <f t="shared" si="36"/>
        <v>43</v>
      </c>
    </row>
    <row r="32" ht="18.75" customHeight="1">
      <c r="A32" s="21">
        <f t="shared" si="4"/>
        <v>45450</v>
      </c>
      <c r="B32" s="22">
        <f t="shared" si="5"/>
        <v>226</v>
      </c>
      <c r="C32" s="22">
        <f t="shared" si="6"/>
        <v>85</v>
      </c>
      <c r="D32" s="23">
        <f t="shared" si="7"/>
        <v>141</v>
      </c>
      <c r="E32" s="24">
        <f>'相関係数'!A32</f>
        <v>45450</v>
      </c>
      <c r="F32" s="25">
        <f>'相関係数'!B32</f>
        <v>226</v>
      </c>
      <c r="G32" s="25">
        <f>'相関係数'!C32</f>
        <v>85</v>
      </c>
      <c r="T32" s="29">
        <f>A464</f>
        <v>44805</v>
      </c>
      <c r="U32" s="20">
        <f>D464</f>
        <v>139</v>
      </c>
      <c r="V32" s="30">
        <f t="shared" ref="V32:W32" si="37">B464</f>
        <v>181</v>
      </c>
      <c r="W32" s="20">
        <f t="shared" si="37"/>
        <v>42</v>
      </c>
    </row>
    <row r="33" ht="18.75" customHeight="1">
      <c r="A33" s="21">
        <f t="shared" si="4"/>
        <v>45449</v>
      </c>
      <c r="B33" s="22">
        <f t="shared" si="5"/>
        <v>219</v>
      </c>
      <c r="C33" s="22">
        <f t="shared" si="6"/>
        <v>78</v>
      </c>
      <c r="D33" s="23">
        <f t="shared" si="7"/>
        <v>141</v>
      </c>
      <c r="E33" s="24">
        <f>'相関係数'!A33</f>
        <v>45449</v>
      </c>
      <c r="F33" s="25">
        <f>'相関係数'!B33</f>
        <v>219</v>
      </c>
      <c r="G33" s="25">
        <f>'相関係数'!C33</f>
        <v>78</v>
      </c>
      <c r="T33" s="29">
        <f>A463</f>
        <v>44806</v>
      </c>
      <c r="U33" s="20">
        <f>D463</f>
        <v>135</v>
      </c>
      <c r="V33" s="30">
        <f t="shared" ref="V33:W33" si="38">B463</f>
        <v>179</v>
      </c>
      <c r="W33" s="20">
        <f t="shared" si="38"/>
        <v>44</v>
      </c>
    </row>
    <row r="34" ht="18.75" customHeight="1">
      <c r="A34" s="21">
        <f t="shared" si="4"/>
        <v>45448</v>
      </c>
      <c r="B34" s="22">
        <f t="shared" si="5"/>
        <v>225</v>
      </c>
      <c r="C34" s="22">
        <f t="shared" si="6"/>
        <v>84</v>
      </c>
      <c r="D34" s="23">
        <f t="shared" si="7"/>
        <v>141</v>
      </c>
      <c r="E34" s="24">
        <f>'相関係数'!A34</f>
        <v>45448</v>
      </c>
      <c r="F34" s="25">
        <f>'相関係数'!B34</f>
        <v>225</v>
      </c>
      <c r="G34" s="25">
        <f>'相関係数'!C34</f>
        <v>84</v>
      </c>
      <c r="T34" s="29">
        <f>A462</f>
        <v>44809</v>
      </c>
      <c r="U34" s="20">
        <f>D462</f>
        <v>136</v>
      </c>
      <c r="V34" s="30">
        <f t="shared" ref="V34:W34" si="39">B462</f>
        <v>180</v>
      </c>
      <c r="W34" s="20">
        <f t="shared" si="39"/>
        <v>44</v>
      </c>
    </row>
    <row r="35" ht="18.75" customHeight="1">
      <c r="A35" s="21">
        <f t="shared" si="4"/>
        <v>45447</v>
      </c>
      <c r="B35" s="22">
        <f t="shared" si="5"/>
        <v>235</v>
      </c>
      <c r="C35" s="22">
        <f t="shared" si="6"/>
        <v>66</v>
      </c>
      <c r="D35" s="23">
        <f t="shared" si="7"/>
        <v>169</v>
      </c>
      <c r="E35" s="24">
        <f>'相関係数'!A35</f>
        <v>45447</v>
      </c>
      <c r="F35" s="25">
        <f>'相関係数'!B35</f>
        <v>235</v>
      </c>
      <c r="G35" s="25">
        <f>'相関係数'!C35</f>
        <v>66</v>
      </c>
      <c r="T35" s="29">
        <f>A461</f>
        <v>44810</v>
      </c>
      <c r="U35" s="20">
        <f>D461</f>
        <v>136</v>
      </c>
      <c r="V35" s="30">
        <f t="shared" ref="V35:W35" si="40">B461</f>
        <v>180</v>
      </c>
      <c r="W35" s="20">
        <f t="shared" si="40"/>
        <v>44</v>
      </c>
    </row>
    <row r="36" ht="18.75" customHeight="1">
      <c r="A36" s="21">
        <f t="shared" si="4"/>
        <v>45446</v>
      </c>
      <c r="B36" s="22">
        <f t="shared" si="5"/>
        <v>234</v>
      </c>
      <c r="C36" s="22">
        <f t="shared" si="6"/>
        <v>62</v>
      </c>
      <c r="D36" s="23">
        <f t="shared" si="7"/>
        <v>172</v>
      </c>
      <c r="E36" s="24">
        <f>'相関係数'!A36</f>
        <v>45446</v>
      </c>
      <c r="F36" s="25">
        <f>'相関係数'!B36</f>
        <v>234</v>
      </c>
      <c r="G36" s="25">
        <f>'相関係数'!C36</f>
        <v>62</v>
      </c>
      <c r="T36" s="29">
        <f>A460</f>
        <v>44811</v>
      </c>
      <c r="U36" s="20">
        <f>D460</f>
        <v>135</v>
      </c>
      <c r="V36" s="30">
        <f t="shared" ref="V36:W36" si="41">B460</f>
        <v>179</v>
      </c>
      <c r="W36" s="20">
        <f t="shared" si="41"/>
        <v>44</v>
      </c>
    </row>
    <row r="37" ht="18.75" customHeight="1">
      <c r="A37" s="21">
        <f t="shared" si="4"/>
        <v>45443</v>
      </c>
      <c r="B37" s="22">
        <f t="shared" si="5"/>
        <v>237</v>
      </c>
      <c r="C37" s="22">
        <f t="shared" si="6"/>
        <v>52</v>
      </c>
      <c r="D37" s="23">
        <f t="shared" si="7"/>
        <v>185</v>
      </c>
      <c r="E37" s="24">
        <f>'相関係数'!A37</f>
        <v>45443</v>
      </c>
      <c r="F37" s="25">
        <f>'相関係数'!B37</f>
        <v>237</v>
      </c>
      <c r="G37" s="25">
        <f>'相関係数'!C37</f>
        <v>52</v>
      </c>
      <c r="T37" s="29">
        <f>A459</f>
        <v>44812</v>
      </c>
      <c r="U37" s="20">
        <f>D459</f>
        <v>136</v>
      </c>
      <c r="V37" s="30">
        <f t="shared" ref="V37:W37" si="42">B459</f>
        <v>179</v>
      </c>
      <c r="W37" s="20">
        <f t="shared" si="42"/>
        <v>43</v>
      </c>
    </row>
    <row r="38" ht="18.75" customHeight="1">
      <c r="A38" s="21">
        <f t="shared" si="4"/>
        <v>45442</v>
      </c>
      <c r="B38" s="22">
        <f t="shared" si="5"/>
        <v>229</v>
      </c>
      <c r="C38" s="22">
        <f t="shared" si="6"/>
        <v>55</v>
      </c>
      <c r="D38" s="23">
        <f t="shared" si="7"/>
        <v>174</v>
      </c>
      <c r="E38" s="24">
        <f>'相関係数'!A38</f>
        <v>45442</v>
      </c>
      <c r="F38" s="25">
        <f>'相関係数'!B38</f>
        <v>229</v>
      </c>
      <c r="G38" s="25">
        <f>'相関係数'!C38</f>
        <v>55</v>
      </c>
      <c r="T38" s="29">
        <f>A458</f>
        <v>44813</v>
      </c>
      <c r="U38" s="20">
        <f>D458</f>
        <v>126</v>
      </c>
      <c r="V38" s="30">
        <f t="shared" ref="V38:W38" si="43">B458</f>
        <v>180</v>
      </c>
      <c r="W38" s="20">
        <f t="shared" si="43"/>
        <v>54</v>
      </c>
    </row>
    <row r="39" ht="18.75" customHeight="1">
      <c r="A39" s="21">
        <f t="shared" si="4"/>
        <v>45441</v>
      </c>
      <c r="B39" s="22">
        <f t="shared" si="5"/>
        <v>240</v>
      </c>
      <c r="C39" s="22">
        <f t="shared" si="6"/>
        <v>56</v>
      </c>
      <c r="D39" s="23">
        <f t="shared" si="7"/>
        <v>184</v>
      </c>
      <c r="E39" s="24">
        <f>'相関係数'!A39</f>
        <v>45441</v>
      </c>
      <c r="F39" s="25">
        <f>'相関係数'!B39</f>
        <v>240</v>
      </c>
      <c r="G39" s="25">
        <f>'相関係数'!C39</f>
        <v>56</v>
      </c>
      <c r="T39" s="29">
        <f>A457</f>
        <v>44816</v>
      </c>
      <c r="U39" s="20">
        <f>D457</f>
        <v>130</v>
      </c>
      <c r="V39" s="30">
        <f t="shared" ref="V39:W39" si="44">B457</f>
        <v>182</v>
      </c>
      <c r="W39" s="20">
        <f t="shared" si="44"/>
        <v>52</v>
      </c>
    </row>
    <row r="40" ht="18.75" customHeight="1">
      <c r="A40" s="21">
        <f t="shared" si="4"/>
        <v>45440</v>
      </c>
      <c r="B40" s="22">
        <f t="shared" si="5"/>
        <v>262</v>
      </c>
      <c r="C40" s="22">
        <f t="shared" si="6"/>
        <v>62</v>
      </c>
      <c r="D40" s="23">
        <f t="shared" si="7"/>
        <v>200</v>
      </c>
      <c r="E40" s="24">
        <f>'相関係数'!A40</f>
        <v>45440</v>
      </c>
      <c r="F40" s="25">
        <f>'相関係数'!B40</f>
        <v>262</v>
      </c>
      <c r="G40" s="25">
        <f>'相関係数'!C40</f>
        <v>62</v>
      </c>
      <c r="T40" s="29">
        <f>A456</f>
        <v>44817</v>
      </c>
      <c r="U40" s="20">
        <f>D456</f>
        <v>130</v>
      </c>
      <c r="V40" s="30">
        <f t="shared" ref="V40:W40" si="45">B456</f>
        <v>181</v>
      </c>
      <c r="W40" s="20">
        <f t="shared" si="45"/>
        <v>51</v>
      </c>
    </row>
    <row r="41" ht="18.75" customHeight="1">
      <c r="A41" s="21">
        <f t="shared" si="4"/>
        <v>45439</v>
      </c>
      <c r="B41" s="22">
        <f t="shared" si="5"/>
        <v>265</v>
      </c>
      <c r="C41" s="22">
        <f t="shared" si="6"/>
        <v>67</v>
      </c>
      <c r="D41" s="23">
        <f t="shared" si="7"/>
        <v>198</v>
      </c>
      <c r="E41" s="24">
        <f>'相関係数'!A41</f>
        <v>45439</v>
      </c>
      <c r="F41" s="25">
        <f>'相関係数'!B41</f>
        <v>265</v>
      </c>
      <c r="G41" s="25">
        <f>'相関係数'!C41</f>
        <v>67</v>
      </c>
      <c r="T41" s="29">
        <f>A455</f>
        <v>44818</v>
      </c>
      <c r="U41" s="20">
        <f>D455</f>
        <v>127</v>
      </c>
      <c r="V41" s="30">
        <f t="shared" ref="V41:W41" si="46">B455</f>
        <v>181</v>
      </c>
      <c r="W41" s="20">
        <f t="shared" si="46"/>
        <v>54</v>
      </c>
    </row>
    <row r="42" ht="18.75" customHeight="1">
      <c r="A42" s="21">
        <f t="shared" si="4"/>
        <v>45436</v>
      </c>
      <c r="B42" s="22">
        <f t="shared" si="5"/>
        <v>259</v>
      </c>
      <c r="C42" s="22">
        <f t="shared" si="6"/>
        <v>57</v>
      </c>
      <c r="D42" s="23">
        <f t="shared" si="7"/>
        <v>202</v>
      </c>
      <c r="E42" s="24">
        <f>'相関係数'!A42</f>
        <v>45436</v>
      </c>
      <c r="F42" s="25">
        <f>'相関係数'!B42</f>
        <v>259</v>
      </c>
      <c r="G42" s="25">
        <f>'相関係数'!C42</f>
        <v>57</v>
      </c>
      <c r="T42" s="29">
        <f>A454</f>
        <v>44819</v>
      </c>
      <c r="U42" s="20">
        <f>D454</f>
        <v>115</v>
      </c>
      <c r="V42" s="30">
        <f t="shared" ref="V42:W42" si="47">B454</f>
        <v>180</v>
      </c>
      <c r="W42" s="20">
        <f t="shared" si="47"/>
        <v>65</v>
      </c>
    </row>
    <row r="43" ht="18.75" customHeight="1">
      <c r="A43" s="21">
        <f t="shared" si="4"/>
        <v>45435</v>
      </c>
      <c r="B43" s="22">
        <f t="shared" si="5"/>
        <v>281</v>
      </c>
      <c r="C43" s="22">
        <f t="shared" si="6"/>
        <v>76</v>
      </c>
      <c r="D43" s="23">
        <f t="shared" si="7"/>
        <v>205</v>
      </c>
      <c r="E43" s="24">
        <f>'相関係数'!A43</f>
        <v>45435</v>
      </c>
      <c r="F43" s="25">
        <f>'相関係数'!B43</f>
        <v>281</v>
      </c>
      <c r="G43" s="25">
        <f>'相関係数'!C43</f>
        <v>76</v>
      </c>
      <c r="T43" s="29">
        <f>A453</f>
        <v>44820</v>
      </c>
      <c r="U43" s="20">
        <f>D453</f>
        <v>117</v>
      </c>
      <c r="V43" s="30">
        <f t="shared" ref="V43:W43" si="48">B453</f>
        <v>176</v>
      </c>
      <c r="W43" s="20">
        <f t="shared" si="48"/>
        <v>59</v>
      </c>
    </row>
    <row r="44" ht="18.75" customHeight="1">
      <c r="A44" s="21">
        <f t="shared" si="4"/>
        <v>45434</v>
      </c>
      <c r="B44" s="22">
        <f t="shared" si="5"/>
        <v>290</v>
      </c>
      <c r="C44" s="22">
        <f t="shared" si="6"/>
        <v>90</v>
      </c>
      <c r="D44" s="23">
        <f t="shared" si="7"/>
        <v>200</v>
      </c>
      <c r="E44" s="24">
        <f>'相関係数'!A44</f>
        <v>45434</v>
      </c>
      <c r="F44" s="25">
        <f>'相関係数'!B44</f>
        <v>290</v>
      </c>
      <c r="G44" s="25">
        <f>'相関係数'!C44</f>
        <v>90</v>
      </c>
      <c r="T44" s="29">
        <f>A452</f>
        <v>44824</v>
      </c>
      <c r="U44" s="20">
        <f>D452</f>
        <v>119</v>
      </c>
      <c r="V44" s="30">
        <f t="shared" ref="V44:W44" si="49">B452</f>
        <v>175</v>
      </c>
      <c r="W44" s="20">
        <f t="shared" si="49"/>
        <v>56</v>
      </c>
    </row>
    <row r="45" ht="18.75" customHeight="1">
      <c r="A45" s="21">
        <f t="shared" si="4"/>
        <v>45433</v>
      </c>
      <c r="B45" s="22">
        <f t="shared" si="5"/>
        <v>291</v>
      </c>
      <c r="C45" s="22">
        <f t="shared" si="6"/>
        <v>60</v>
      </c>
      <c r="D45" s="23">
        <f t="shared" si="7"/>
        <v>231</v>
      </c>
      <c r="E45" s="24">
        <f>'相関係数'!A45</f>
        <v>45433</v>
      </c>
      <c r="F45" s="25">
        <f>'相関係数'!B45</f>
        <v>291</v>
      </c>
      <c r="G45" s="25">
        <f>'相関係数'!C45</f>
        <v>60</v>
      </c>
      <c r="T45" s="29">
        <f>A451</f>
        <v>44825</v>
      </c>
      <c r="U45" s="20">
        <f>D451</f>
        <v>114</v>
      </c>
      <c r="V45" s="30">
        <f t="shared" ref="V45:W45" si="50">B451</f>
        <v>172</v>
      </c>
      <c r="W45" s="20">
        <f t="shared" si="50"/>
        <v>58</v>
      </c>
    </row>
    <row r="46" ht="18.75" customHeight="1">
      <c r="A46" s="21">
        <f t="shared" si="4"/>
        <v>45432</v>
      </c>
      <c r="B46" s="22">
        <f t="shared" si="5"/>
        <v>274</v>
      </c>
      <c r="C46" s="22">
        <f t="shared" si="6"/>
        <v>41</v>
      </c>
      <c r="D46" s="23">
        <f t="shared" si="7"/>
        <v>233</v>
      </c>
      <c r="E46" s="24">
        <f>'相関係数'!A46</f>
        <v>45432</v>
      </c>
      <c r="F46" s="25">
        <f>'相関係数'!B46</f>
        <v>274</v>
      </c>
      <c r="G46" s="25">
        <f>'相関係数'!C46</f>
        <v>41</v>
      </c>
      <c r="T46" s="29">
        <f>A450</f>
        <v>44826</v>
      </c>
      <c r="U46" s="20">
        <f>D450</f>
        <v>118</v>
      </c>
      <c r="V46" s="30">
        <f t="shared" ref="V46:W46" si="51">B450</f>
        <v>173</v>
      </c>
      <c r="W46" s="20">
        <f t="shared" si="51"/>
        <v>55</v>
      </c>
    </row>
    <row r="47" ht="18.75" customHeight="1">
      <c r="A47" s="21">
        <f t="shared" si="4"/>
        <v>45429</v>
      </c>
      <c r="B47" s="22">
        <f t="shared" si="5"/>
        <v>252</v>
      </c>
      <c r="C47" s="22">
        <f t="shared" si="6"/>
        <v>35</v>
      </c>
      <c r="D47" s="23">
        <f t="shared" si="7"/>
        <v>217</v>
      </c>
      <c r="E47" s="24">
        <f>'相関係数'!A47</f>
        <v>45429</v>
      </c>
      <c r="F47" s="25">
        <f>'相関係数'!B47</f>
        <v>252</v>
      </c>
      <c r="G47" s="25">
        <f>'相関係数'!C47</f>
        <v>35</v>
      </c>
      <c r="T47" s="29">
        <f>A449</f>
        <v>44830</v>
      </c>
      <c r="U47" s="20">
        <f>D449</f>
        <v>115</v>
      </c>
      <c r="V47" s="30">
        <f t="shared" ref="V47:W47" si="52">B449</f>
        <v>169</v>
      </c>
      <c r="W47" s="20">
        <f t="shared" si="52"/>
        <v>54</v>
      </c>
    </row>
    <row r="48" ht="18.75" customHeight="1">
      <c r="A48" s="21">
        <f t="shared" si="4"/>
        <v>45428</v>
      </c>
      <c r="B48" s="22">
        <f t="shared" si="5"/>
        <v>243</v>
      </c>
      <c r="C48" s="22">
        <f t="shared" si="6"/>
        <v>35</v>
      </c>
      <c r="D48" s="23">
        <f t="shared" si="7"/>
        <v>208</v>
      </c>
      <c r="E48" s="24">
        <f>'相関係数'!A48</f>
        <v>45428</v>
      </c>
      <c r="F48" s="25">
        <f>'相関係数'!B48</f>
        <v>243</v>
      </c>
      <c r="G48" s="25">
        <f>'相関係数'!C48</f>
        <v>35</v>
      </c>
      <c r="T48" s="29">
        <f>A448</f>
        <v>44831</v>
      </c>
      <c r="U48" s="20">
        <f>D448</f>
        <v>115</v>
      </c>
      <c r="V48" s="30">
        <f t="shared" ref="V48:W48" si="53">B448</f>
        <v>171</v>
      </c>
      <c r="W48" s="20">
        <f t="shared" si="53"/>
        <v>56</v>
      </c>
    </row>
    <row r="49" ht="18.75" customHeight="1">
      <c r="A49" s="21">
        <f t="shared" si="4"/>
        <v>45427</v>
      </c>
      <c r="B49" s="22">
        <f t="shared" si="5"/>
        <v>249</v>
      </c>
      <c r="C49" s="22">
        <f t="shared" si="6"/>
        <v>33</v>
      </c>
      <c r="D49" s="23">
        <f t="shared" si="7"/>
        <v>216</v>
      </c>
      <c r="E49" s="24">
        <f>'相関係数'!A49</f>
        <v>45427</v>
      </c>
      <c r="F49" s="25">
        <f>'相関係数'!B49</f>
        <v>249</v>
      </c>
      <c r="G49" s="25">
        <f>'相関係数'!C49</f>
        <v>33</v>
      </c>
      <c r="T49" s="29">
        <f>A447</f>
        <v>44832</v>
      </c>
      <c r="U49" s="20">
        <f>D447</f>
        <v>105</v>
      </c>
      <c r="V49" s="30">
        <f t="shared" ref="V49:W49" si="54">B447</f>
        <v>163</v>
      </c>
      <c r="W49" s="20">
        <f t="shared" si="54"/>
        <v>58</v>
      </c>
    </row>
    <row r="50" ht="18.75" customHeight="1">
      <c r="A50" s="21">
        <f t="shared" si="4"/>
        <v>45426</v>
      </c>
      <c r="B50" s="22">
        <f t="shared" si="5"/>
        <v>257</v>
      </c>
      <c r="C50" s="22">
        <f t="shared" si="6"/>
        <v>31</v>
      </c>
      <c r="D50" s="23">
        <f t="shared" si="7"/>
        <v>226</v>
      </c>
      <c r="E50" s="24">
        <f>'相関係数'!A50</f>
        <v>45426</v>
      </c>
      <c r="F50" s="25">
        <f>'相関係数'!B50</f>
        <v>257</v>
      </c>
      <c r="G50" s="25">
        <f>'相関係数'!C50</f>
        <v>31</v>
      </c>
      <c r="T50" s="29">
        <f>A446</f>
        <v>44833</v>
      </c>
      <c r="U50" s="20">
        <f>D446</f>
        <v>112</v>
      </c>
      <c r="V50" s="30">
        <f t="shared" ref="V50:W50" si="55">B446</f>
        <v>166</v>
      </c>
      <c r="W50" s="20">
        <f t="shared" si="55"/>
        <v>54</v>
      </c>
    </row>
    <row r="51" ht="18.75" customHeight="1">
      <c r="A51" s="21">
        <f t="shared" si="4"/>
        <v>45425</v>
      </c>
      <c r="B51" s="22">
        <f t="shared" si="5"/>
        <v>255</v>
      </c>
      <c r="C51" s="22">
        <f t="shared" si="6"/>
        <v>30</v>
      </c>
      <c r="D51" s="23">
        <f t="shared" si="7"/>
        <v>225</v>
      </c>
      <c r="E51" s="24">
        <f>'相関係数'!A51</f>
        <v>45425</v>
      </c>
      <c r="F51" s="25">
        <f>'相関係数'!B51</f>
        <v>255</v>
      </c>
      <c r="G51" s="25">
        <f>'相関係数'!C51</f>
        <v>30</v>
      </c>
      <c r="T51" s="29">
        <f>A445</f>
        <v>44834</v>
      </c>
      <c r="U51" s="20">
        <f>D445</f>
        <v>107</v>
      </c>
      <c r="V51" s="30">
        <f t="shared" ref="V51:W51" si="56">B445</f>
        <v>162</v>
      </c>
      <c r="W51" s="20">
        <f t="shared" si="56"/>
        <v>55</v>
      </c>
    </row>
    <row r="52" ht="18.75" customHeight="1">
      <c r="A52" s="21">
        <f t="shared" si="4"/>
        <v>45422</v>
      </c>
      <c r="B52" s="22">
        <f t="shared" si="5"/>
        <v>264</v>
      </c>
      <c r="C52" s="22">
        <f t="shared" si="6"/>
        <v>30</v>
      </c>
      <c r="D52" s="23">
        <f t="shared" si="7"/>
        <v>234</v>
      </c>
      <c r="E52" s="24">
        <f>'相関係数'!A52</f>
        <v>45422</v>
      </c>
      <c r="F52" s="25">
        <f>'相関係数'!B52</f>
        <v>264</v>
      </c>
      <c r="G52" s="25">
        <f>'相関係数'!C52</f>
        <v>30</v>
      </c>
      <c r="T52" s="29">
        <f>A444</f>
        <v>44837</v>
      </c>
      <c r="U52" s="20">
        <f>D444</f>
        <v>106</v>
      </c>
      <c r="V52" s="30">
        <f t="shared" ref="V52:W52" si="57">B444</f>
        <v>161</v>
      </c>
      <c r="W52" s="20">
        <f t="shared" si="57"/>
        <v>55</v>
      </c>
    </row>
    <row r="53" ht="18.75" customHeight="1">
      <c r="A53" s="21">
        <f t="shared" si="4"/>
        <v>45421</v>
      </c>
      <c r="B53" s="22">
        <f t="shared" si="5"/>
        <v>277</v>
      </c>
      <c r="C53" s="22">
        <f t="shared" si="6"/>
        <v>29</v>
      </c>
      <c r="D53" s="23">
        <f t="shared" si="7"/>
        <v>248</v>
      </c>
      <c r="E53" s="24">
        <f>'相関係数'!A53</f>
        <v>45421</v>
      </c>
      <c r="F53" s="25">
        <f>'相関係数'!B53</f>
        <v>277</v>
      </c>
      <c r="G53" s="25">
        <f>'相関係数'!C53</f>
        <v>29</v>
      </c>
      <c r="T53" s="29">
        <f>A443</f>
        <v>44838</v>
      </c>
      <c r="U53" s="20">
        <f>D443</f>
        <v>113</v>
      </c>
      <c r="V53" s="30">
        <f t="shared" ref="V53:W53" si="58">B443</f>
        <v>166</v>
      </c>
      <c r="W53" s="20">
        <f t="shared" si="58"/>
        <v>53</v>
      </c>
    </row>
    <row r="54" ht="18.75" customHeight="1">
      <c r="A54" s="21">
        <f t="shared" si="4"/>
        <v>45420</v>
      </c>
      <c r="B54" s="22">
        <f t="shared" si="5"/>
        <v>276</v>
      </c>
      <c r="C54" s="22">
        <f t="shared" si="6"/>
        <v>30</v>
      </c>
      <c r="D54" s="23">
        <f t="shared" si="7"/>
        <v>246</v>
      </c>
      <c r="E54" s="24">
        <f>'相関係数'!A54</f>
        <v>45420</v>
      </c>
      <c r="F54" s="25">
        <f>'相関係数'!B54</f>
        <v>276</v>
      </c>
      <c r="G54" s="25">
        <f>'相関係数'!C54</f>
        <v>30</v>
      </c>
      <c r="T54" s="29">
        <f>A442</f>
        <v>44839</v>
      </c>
      <c r="U54" s="20">
        <f>D442</f>
        <v>111</v>
      </c>
      <c r="V54" s="30">
        <f t="shared" ref="V54:W54" si="59">B442</f>
        <v>165</v>
      </c>
      <c r="W54" s="20">
        <f t="shared" si="59"/>
        <v>54</v>
      </c>
    </row>
    <row r="55" ht="18.75" customHeight="1">
      <c r="A55" s="21">
        <f t="shared" si="4"/>
        <v>45419</v>
      </c>
      <c r="B55" s="22">
        <f t="shared" si="5"/>
        <v>239</v>
      </c>
      <c r="C55" s="22">
        <f t="shared" si="6"/>
        <v>29</v>
      </c>
      <c r="D55" s="23">
        <f t="shared" si="7"/>
        <v>210</v>
      </c>
      <c r="E55" s="24">
        <f>'相関係数'!A55</f>
        <v>45419</v>
      </c>
      <c r="F55" s="25">
        <f>'相関係数'!B55</f>
        <v>239</v>
      </c>
      <c r="G55" s="25">
        <f>'相関係数'!C55</f>
        <v>29</v>
      </c>
      <c r="T55" s="29">
        <f>A441</f>
        <v>44840</v>
      </c>
      <c r="U55" s="20">
        <f>D441</f>
        <v>116</v>
      </c>
      <c r="V55" s="30">
        <f t="shared" ref="V55:W55" si="60">B441</f>
        <v>169</v>
      </c>
      <c r="W55" s="20">
        <f t="shared" si="60"/>
        <v>53</v>
      </c>
    </row>
    <row r="56" ht="18.75" customHeight="1">
      <c r="A56" s="21">
        <f t="shared" si="4"/>
        <v>45414</v>
      </c>
      <c r="B56" s="22">
        <f t="shared" si="5"/>
        <v>189</v>
      </c>
      <c r="C56" s="22">
        <f t="shared" si="6"/>
        <v>28</v>
      </c>
      <c r="D56" s="23">
        <f t="shared" si="7"/>
        <v>161</v>
      </c>
      <c r="E56" s="24">
        <f>'相関係数'!A56</f>
        <v>45414</v>
      </c>
      <c r="F56" s="25">
        <f>'相関係数'!B56</f>
        <v>189</v>
      </c>
      <c r="G56" s="25">
        <f>'相関係数'!C56</f>
        <v>28</v>
      </c>
      <c r="T56" s="29">
        <f>A440</f>
        <v>44841</v>
      </c>
      <c r="U56" s="20">
        <f>D440</f>
        <v>116</v>
      </c>
      <c r="V56" s="30">
        <f t="shared" ref="V56:W56" si="61">B440</f>
        <v>169</v>
      </c>
      <c r="W56" s="20">
        <f t="shared" si="61"/>
        <v>53</v>
      </c>
    </row>
    <row r="57" ht="18.75" customHeight="1">
      <c r="A57" s="21">
        <f t="shared" si="4"/>
        <v>45413</v>
      </c>
      <c r="B57" s="22">
        <f t="shared" si="5"/>
        <v>194</v>
      </c>
      <c r="C57" s="22">
        <f t="shared" si="6"/>
        <v>29</v>
      </c>
      <c r="D57" s="23">
        <f t="shared" si="7"/>
        <v>165</v>
      </c>
      <c r="E57" s="24">
        <f>'相関係数'!A57</f>
        <v>45413</v>
      </c>
      <c r="F57" s="25">
        <f>'相関係数'!B57</f>
        <v>194</v>
      </c>
      <c r="G57" s="25">
        <f>'相関係数'!C57</f>
        <v>29</v>
      </c>
      <c r="T57" s="29">
        <f>A439</f>
        <v>44845</v>
      </c>
      <c r="U57" s="20">
        <f>D439</f>
        <v>116</v>
      </c>
      <c r="V57" s="30">
        <f t="shared" ref="V57:W57" si="62">B439</f>
        <v>168</v>
      </c>
      <c r="W57" s="20">
        <f t="shared" si="62"/>
        <v>52</v>
      </c>
    </row>
    <row r="58" ht="18.75" customHeight="1">
      <c r="A58" s="21">
        <f t="shared" si="4"/>
        <v>45412</v>
      </c>
      <c r="B58" s="22">
        <f t="shared" si="5"/>
        <v>206</v>
      </c>
      <c r="C58" s="22">
        <f t="shared" si="6"/>
        <v>29</v>
      </c>
      <c r="D58" s="23">
        <f t="shared" si="7"/>
        <v>177</v>
      </c>
      <c r="E58" s="24">
        <f>'相関係数'!A58</f>
        <v>45412</v>
      </c>
      <c r="F58" s="25">
        <f>'相関係数'!B58</f>
        <v>206</v>
      </c>
      <c r="G58" s="25">
        <f>'相関係数'!C58</f>
        <v>29</v>
      </c>
      <c r="T58" s="29">
        <f>A438</f>
        <v>44846</v>
      </c>
      <c r="U58" s="20">
        <f>D438</f>
        <v>114</v>
      </c>
      <c r="V58" s="30">
        <f t="shared" ref="V58:W58" si="63">B438</f>
        <v>164</v>
      </c>
      <c r="W58" s="20">
        <f t="shared" si="63"/>
        <v>50</v>
      </c>
    </row>
    <row r="59" ht="18.75" customHeight="1">
      <c r="A59" s="21">
        <f t="shared" si="4"/>
        <v>45408</v>
      </c>
      <c r="B59" s="22">
        <f t="shared" si="5"/>
        <v>185</v>
      </c>
      <c r="C59" s="22">
        <f t="shared" si="6"/>
        <v>29</v>
      </c>
      <c r="D59" s="23">
        <f t="shared" si="7"/>
        <v>156</v>
      </c>
      <c r="E59" s="24">
        <f>'相関係数'!A59</f>
        <v>45408</v>
      </c>
      <c r="F59" s="25">
        <f>'相関係数'!B59</f>
        <v>185</v>
      </c>
      <c r="G59" s="25">
        <f>'相関係数'!C59</f>
        <v>29</v>
      </c>
      <c r="T59" s="29">
        <f>A437</f>
        <v>44847</v>
      </c>
      <c r="U59" s="20">
        <f>D437</f>
        <v>112</v>
      </c>
      <c r="V59" s="30">
        <f t="shared" ref="V59:W59" si="64">B437</f>
        <v>161</v>
      </c>
      <c r="W59" s="20">
        <f t="shared" si="64"/>
        <v>49</v>
      </c>
    </row>
    <row r="60" ht="18.75" customHeight="1">
      <c r="A60" s="21">
        <f t="shared" si="4"/>
        <v>45407</v>
      </c>
      <c r="B60" s="22">
        <f t="shared" si="5"/>
        <v>179</v>
      </c>
      <c r="C60" s="22">
        <f t="shared" si="6"/>
        <v>28</v>
      </c>
      <c r="D60" s="23">
        <f t="shared" si="7"/>
        <v>151</v>
      </c>
      <c r="E60" s="24">
        <f>'相関係数'!A60</f>
        <v>45407</v>
      </c>
      <c r="F60" s="25">
        <f>'相関係数'!B60</f>
        <v>179</v>
      </c>
      <c r="G60" s="25">
        <f>'相関係数'!C60</f>
        <v>28</v>
      </c>
      <c r="T60" s="29">
        <f>A436</f>
        <v>44848</v>
      </c>
      <c r="U60" s="20">
        <f>D436</f>
        <v>115</v>
      </c>
      <c r="V60" s="30">
        <f t="shared" ref="V60:W60" si="65">B436</f>
        <v>164</v>
      </c>
      <c r="W60" s="20">
        <f t="shared" si="65"/>
        <v>49</v>
      </c>
    </row>
    <row r="61" ht="18.75" customHeight="1">
      <c r="A61" s="21">
        <f t="shared" si="4"/>
        <v>45406</v>
      </c>
      <c r="B61" s="22">
        <f t="shared" si="5"/>
        <v>174</v>
      </c>
      <c r="C61" s="22">
        <f t="shared" si="6"/>
        <v>32</v>
      </c>
      <c r="D61" s="23">
        <f t="shared" si="7"/>
        <v>142</v>
      </c>
      <c r="E61" s="24">
        <f>'相関係数'!A61</f>
        <v>45406</v>
      </c>
      <c r="F61" s="25">
        <f>'相関係数'!B61</f>
        <v>174</v>
      </c>
      <c r="G61" s="25">
        <f>'相関係数'!C61</f>
        <v>32</v>
      </c>
      <c r="T61" s="29">
        <f>A435</f>
        <v>44851</v>
      </c>
      <c r="U61" s="20">
        <f>D435</f>
        <v>118</v>
      </c>
      <c r="V61" s="30">
        <f t="shared" ref="V61:W61" si="66">B435</f>
        <v>167</v>
      </c>
      <c r="W61" s="20">
        <f t="shared" si="66"/>
        <v>49</v>
      </c>
    </row>
    <row r="62" ht="18.75" customHeight="1">
      <c r="A62" s="21">
        <f t="shared" si="4"/>
        <v>45405</v>
      </c>
      <c r="B62" s="22">
        <f t="shared" si="5"/>
        <v>168</v>
      </c>
      <c r="C62" s="22">
        <f t="shared" si="6"/>
        <v>34</v>
      </c>
      <c r="D62" s="23">
        <f t="shared" si="7"/>
        <v>134</v>
      </c>
      <c r="E62" s="24">
        <f>'相関係数'!A62</f>
        <v>45405</v>
      </c>
      <c r="F62" s="25">
        <f>'相関係数'!B62</f>
        <v>168</v>
      </c>
      <c r="G62" s="25">
        <f>'相関係数'!C62</f>
        <v>34</v>
      </c>
      <c r="T62" s="29">
        <f>A434</f>
        <v>44852</v>
      </c>
      <c r="U62" s="20">
        <f>D434</f>
        <v>120</v>
      </c>
      <c r="V62" s="30">
        <f t="shared" ref="V62:W62" si="67">B434</f>
        <v>168</v>
      </c>
      <c r="W62" s="20">
        <f t="shared" si="67"/>
        <v>48</v>
      </c>
    </row>
    <row r="63" ht="18.75" customHeight="1">
      <c r="A63" s="21">
        <f t="shared" si="4"/>
        <v>45404</v>
      </c>
      <c r="B63" s="22">
        <f t="shared" si="5"/>
        <v>166</v>
      </c>
      <c r="C63" s="22">
        <f t="shared" si="6"/>
        <v>31</v>
      </c>
      <c r="D63" s="23">
        <f t="shared" si="7"/>
        <v>135</v>
      </c>
      <c r="E63" s="24">
        <f>'相関係数'!A63</f>
        <v>45404</v>
      </c>
      <c r="F63" s="25">
        <f>'相関係数'!B63</f>
        <v>166</v>
      </c>
      <c r="G63" s="25">
        <f>'相関係数'!C63</f>
        <v>31</v>
      </c>
      <c r="T63" s="29">
        <f>A433</f>
        <v>44853</v>
      </c>
      <c r="U63" s="20">
        <f>D433</f>
        <v>119</v>
      </c>
      <c r="V63" s="30">
        <f t="shared" ref="V63:W63" si="68">B433</f>
        <v>170</v>
      </c>
      <c r="W63" s="20">
        <f t="shared" si="68"/>
        <v>51</v>
      </c>
    </row>
    <row r="64" ht="18.75" customHeight="1">
      <c r="A64" s="21">
        <f t="shared" si="4"/>
        <v>45401</v>
      </c>
      <c r="B64" s="22">
        <f t="shared" si="5"/>
        <v>170</v>
      </c>
      <c r="C64" s="22">
        <f t="shared" si="6"/>
        <v>30</v>
      </c>
      <c r="D64" s="23">
        <f t="shared" si="7"/>
        <v>140</v>
      </c>
      <c r="E64" s="24">
        <f>'相関係数'!A64</f>
        <v>45401</v>
      </c>
      <c r="F64" s="25">
        <f>'相関係数'!B64</f>
        <v>170</v>
      </c>
      <c r="G64" s="25">
        <f>'相関係数'!C64</f>
        <v>30</v>
      </c>
      <c r="T64" s="29">
        <f>A432</f>
        <v>44854</v>
      </c>
      <c r="U64" s="20">
        <f>D432</f>
        <v>118</v>
      </c>
      <c r="V64" s="30">
        <f t="shared" ref="V64:W64" si="69">B432</f>
        <v>168</v>
      </c>
      <c r="W64" s="20">
        <f t="shared" si="69"/>
        <v>50</v>
      </c>
    </row>
    <row r="65" ht="18.75" customHeight="1">
      <c r="A65" s="21">
        <f t="shared" si="4"/>
        <v>45400</v>
      </c>
      <c r="B65" s="22">
        <f t="shared" si="5"/>
        <v>166</v>
      </c>
      <c r="C65" s="22">
        <f t="shared" si="6"/>
        <v>28</v>
      </c>
      <c r="D65" s="23">
        <f t="shared" si="7"/>
        <v>138</v>
      </c>
      <c r="E65" s="24">
        <f>'相関係数'!A65</f>
        <v>45400</v>
      </c>
      <c r="F65" s="25">
        <f>'相関係数'!B65</f>
        <v>166</v>
      </c>
      <c r="G65" s="25">
        <f>'相関係数'!C65</f>
        <v>28</v>
      </c>
      <c r="T65" s="29">
        <f>A431</f>
        <v>44855</v>
      </c>
      <c r="U65" s="20">
        <f>D431</f>
        <v>117</v>
      </c>
      <c r="V65" s="30">
        <f t="shared" ref="V65:W65" si="70">B431</f>
        <v>167</v>
      </c>
      <c r="W65" s="20">
        <f t="shared" si="70"/>
        <v>50</v>
      </c>
    </row>
    <row r="66" ht="18.75" customHeight="1">
      <c r="A66" s="21">
        <f t="shared" si="4"/>
        <v>45399</v>
      </c>
      <c r="B66" s="22">
        <f t="shared" si="5"/>
        <v>168</v>
      </c>
      <c r="C66" s="22">
        <f t="shared" si="6"/>
        <v>27</v>
      </c>
      <c r="D66" s="23">
        <f t="shared" si="7"/>
        <v>141</v>
      </c>
      <c r="E66" s="24">
        <f>'相関係数'!A66</f>
        <v>45399</v>
      </c>
      <c r="F66" s="25">
        <f>'相関係数'!B66</f>
        <v>168</v>
      </c>
      <c r="G66" s="25">
        <f>'相関係数'!C66</f>
        <v>27</v>
      </c>
      <c r="T66" s="29">
        <f>A430</f>
        <v>44858</v>
      </c>
      <c r="U66" s="20">
        <f>D430</f>
        <v>118</v>
      </c>
      <c r="V66" s="30">
        <f t="shared" ref="V66:W66" si="71">B430</f>
        <v>167</v>
      </c>
      <c r="W66" s="20">
        <f t="shared" si="71"/>
        <v>49</v>
      </c>
    </row>
    <row r="67" ht="18.75" customHeight="1">
      <c r="A67" s="21">
        <f t="shared" si="4"/>
        <v>45398</v>
      </c>
      <c r="B67" s="22">
        <f t="shared" si="5"/>
        <v>173</v>
      </c>
      <c r="C67" s="22">
        <f t="shared" si="6"/>
        <v>27</v>
      </c>
      <c r="D67" s="23">
        <f t="shared" si="7"/>
        <v>146</v>
      </c>
      <c r="E67" s="24">
        <f>'相関係数'!A67</f>
        <v>45398</v>
      </c>
      <c r="F67" s="25">
        <f>'相関係数'!B67</f>
        <v>173</v>
      </c>
      <c r="G67" s="25">
        <f>'相関係数'!C67</f>
        <v>27</v>
      </c>
      <c r="T67" s="29">
        <f>A429</f>
        <v>44859</v>
      </c>
      <c r="U67" s="20">
        <f>D429</f>
        <v>120</v>
      </c>
      <c r="V67" s="30">
        <f t="shared" ref="V67:W67" si="72">B429</f>
        <v>170</v>
      </c>
      <c r="W67" s="20">
        <f t="shared" si="72"/>
        <v>50</v>
      </c>
    </row>
    <row r="68" ht="18.75" customHeight="1">
      <c r="A68" s="21">
        <f t="shared" si="4"/>
        <v>45397</v>
      </c>
      <c r="B68" s="22">
        <f t="shared" si="5"/>
        <v>179</v>
      </c>
      <c r="C68" s="22">
        <f t="shared" si="6"/>
        <v>30</v>
      </c>
      <c r="D68" s="23">
        <f t="shared" si="7"/>
        <v>149</v>
      </c>
      <c r="E68" s="24">
        <f>'相関係数'!A68</f>
        <v>45397</v>
      </c>
      <c r="F68" s="25">
        <f>'相関係数'!B68</f>
        <v>179</v>
      </c>
      <c r="G68" s="25">
        <f>'相関係数'!C68</f>
        <v>30</v>
      </c>
      <c r="T68" s="29">
        <f>A428</f>
        <v>44860</v>
      </c>
      <c r="U68" s="20">
        <f>D428</f>
        <v>124</v>
      </c>
      <c r="V68" s="30">
        <f t="shared" ref="V68:W68" si="73">B428</f>
        <v>173</v>
      </c>
      <c r="W68" s="20">
        <f t="shared" si="73"/>
        <v>49</v>
      </c>
    </row>
    <row r="69" ht="18.75" customHeight="1">
      <c r="A69" s="21">
        <f t="shared" si="4"/>
        <v>45394</v>
      </c>
      <c r="B69" s="22">
        <f t="shared" si="5"/>
        <v>187</v>
      </c>
      <c r="C69" s="22">
        <f t="shared" si="6"/>
        <v>34</v>
      </c>
      <c r="D69" s="23">
        <f t="shared" si="7"/>
        <v>153</v>
      </c>
      <c r="E69" s="24">
        <f>'相関係数'!A69</f>
        <v>45394</v>
      </c>
      <c r="F69" s="25">
        <f>'相関係数'!B69</f>
        <v>187</v>
      </c>
      <c r="G69" s="25">
        <f>'相関係数'!C69</f>
        <v>34</v>
      </c>
      <c r="T69" s="29">
        <f>A427</f>
        <v>44861</v>
      </c>
      <c r="U69" s="20">
        <f>D427</f>
        <v>124</v>
      </c>
      <c r="V69" s="30">
        <f t="shared" ref="V69:W69" si="74">B427</f>
        <v>173</v>
      </c>
      <c r="W69" s="20">
        <f t="shared" si="74"/>
        <v>49</v>
      </c>
    </row>
    <row r="70" ht="18.75" customHeight="1">
      <c r="A70" s="21">
        <f t="shared" si="4"/>
        <v>45393</v>
      </c>
      <c r="B70" s="22">
        <f t="shared" si="5"/>
        <v>184</v>
      </c>
      <c r="C70" s="22">
        <f t="shared" si="6"/>
        <v>36</v>
      </c>
      <c r="D70" s="23">
        <f t="shared" si="7"/>
        <v>148</v>
      </c>
      <c r="E70" s="24">
        <f>'相関係数'!A70</f>
        <v>45393</v>
      </c>
      <c r="F70" s="25">
        <f>'相関係数'!B70</f>
        <v>184</v>
      </c>
      <c r="G70" s="25">
        <f>'相関係数'!C70</f>
        <v>36</v>
      </c>
      <c r="T70" s="29">
        <f>A426</f>
        <v>44862</v>
      </c>
      <c r="U70" s="20">
        <f>D426</f>
        <v>124</v>
      </c>
      <c r="V70" s="30">
        <f t="shared" ref="V70:W70" si="75">B426</f>
        <v>174</v>
      </c>
      <c r="W70" s="20">
        <f t="shared" si="75"/>
        <v>50</v>
      </c>
    </row>
    <row r="71" ht="18.75" customHeight="1">
      <c r="A71" s="21">
        <f t="shared" si="4"/>
        <v>45392</v>
      </c>
      <c r="B71" s="22">
        <f t="shared" si="5"/>
        <v>190</v>
      </c>
      <c r="C71" s="22">
        <f t="shared" si="6"/>
        <v>32</v>
      </c>
      <c r="D71" s="23">
        <f t="shared" si="7"/>
        <v>158</v>
      </c>
      <c r="E71" s="24">
        <f>'相関係数'!A71</f>
        <v>45392</v>
      </c>
      <c r="F71" s="25">
        <f>'相関係数'!B71</f>
        <v>190</v>
      </c>
      <c r="G71" s="25">
        <f>'相関係数'!C71</f>
        <v>32</v>
      </c>
      <c r="T71" s="29">
        <f>A425</f>
        <v>44865</v>
      </c>
      <c r="U71" s="20">
        <f>D425</f>
        <v>123</v>
      </c>
      <c r="V71" s="30">
        <f t="shared" ref="V71:W71" si="76">B425</f>
        <v>173</v>
      </c>
      <c r="W71" s="20">
        <f t="shared" si="76"/>
        <v>50</v>
      </c>
    </row>
    <row r="72" ht="18.75" customHeight="1">
      <c r="A72" s="21">
        <f t="shared" si="4"/>
        <v>45391</v>
      </c>
      <c r="B72" s="22">
        <f t="shared" si="5"/>
        <v>178</v>
      </c>
      <c r="C72" s="22">
        <f t="shared" si="6"/>
        <v>36</v>
      </c>
      <c r="D72" s="23">
        <f t="shared" si="7"/>
        <v>142</v>
      </c>
      <c r="E72" s="24">
        <f>'相関係数'!A72</f>
        <v>45391</v>
      </c>
      <c r="F72" s="25">
        <f>'相関係数'!B72</f>
        <v>178</v>
      </c>
      <c r="G72" s="25">
        <f>'相関係数'!C72</f>
        <v>36</v>
      </c>
      <c r="T72" s="29">
        <f>A424</f>
        <v>44866</v>
      </c>
      <c r="U72" s="20">
        <f>D424</f>
        <v>122</v>
      </c>
      <c r="V72" s="30">
        <f t="shared" ref="V72:W72" si="77">B424</f>
        <v>170</v>
      </c>
      <c r="W72" s="20">
        <f t="shared" si="77"/>
        <v>48</v>
      </c>
    </row>
    <row r="73" ht="18.75" customHeight="1">
      <c r="A73" s="21">
        <f t="shared" si="4"/>
        <v>45390</v>
      </c>
      <c r="B73" s="22">
        <f t="shared" si="5"/>
        <v>177</v>
      </c>
      <c r="C73" s="22">
        <f t="shared" si="6"/>
        <v>19</v>
      </c>
      <c r="D73" s="23">
        <f t="shared" si="7"/>
        <v>158</v>
      </c>
      <c r="E73" s="24">
        <f>'相関係数'!A73</f>
        <v>45390</v>
      </c>
      <c r="F73" s="25">
        <f>'相関係数'!B73</f>
        <v>177</v>
      </c>
      <c r="G73" s="25">
        <f>'相関係数'!C73</f>
        <v>19</v>
      </c>
      <c r="T73" s="29">
        <f>A423</f>
        <v>44867</v>
      </c>
      <c r="U73" s="20">
        <f>D423</f>
        <v>123</v>
      </c>
      <c r="V73" s="30">
        <f t="shared" ref="V73:W73" si="78">B423</f>
        <v>171</v>
      </c>
      <c r="W73" s="20">
        <f t="shared" si="78"/>
        <v>48</v>
      </c>
    </row>
    <row r="74" ht="18.75" customHeight="1">
      <c r="A74" s="21">
        <f t="shared" si="4"/>
        <v>45387</v>
      </c>
      <c r="B74" s="22">
        <f t="shared" si="5"/>
        <v>173</v>
      </c>
      <c r="C74" s="22">
        <f t="shared" si="6"/>
        <v>19</v>
      </c>
      <c r="D74" s="23">
        <f t="shared" si="7"/>
        <v>154</v>
      </c>
      <c r="E74" s="24">
        <f>'相関係数'!A74</f>
        <v>45387</v>
      </c>
      <c r="F74" s="25">
        <f>'相関係数'!B74</f>
        <v>173</v>
      </c>
      <c r="G74" s="25">
        <f>'相関係数'!C74</f>
        <v>19</v>
      </c>
      <c r="T74" s="29">
        <f>A422</f>
        <v>44869</v>
      </c>
      <c r="U74" s="20">
        <f>D422</f>
        <v>120</v>
      </c>
      <c r="V74" s="30">
        <f t="shared" ref="V74:W74" si="79">B422</f>
        <v>168</v>
      </c>
      <c r="W74" s="20">
        <f t="shared" si="79"/>
        <v>48</v>
      </c>
    </row>
    <row r="75" ht="18.75" customHeight="1">
      <c r="A75" s="21">
        <f t="shared" si="4"/>
        <v>45386</v>
      </c>
      <c r="B75" s="22">
        <f t="shared" si="5"/>
        <v>189</v>
      </c>
      <c r="C75" s="22">
        <f t="shared" si="6"/>
        <v>19</v>
      </c>
      <c r="D75" s="23">
        <f t="shared" si="7"/>
        <v>170</v>
      </c>
      <c r="E75" s="24">
        <f>'相関係数'!A75</f>
        <v>45386</v>
      </c>
      <c r="F75" s="25">
        <f>'相関係数'!B75</f>
        <v>189</v>
      </c>
      <c r="G75" s="25">
        <f>'相関係数'!C75</f>
        <v>19</v>
      </c>
      <c r="T75" s="29">
        <f>A421</f>
        <v>44872</v>
      </c>
      <c r="U75" s="20">
        <f>D421</f>
        <v>123</v>
      </c>
      <c r="V75" s="30">
        <f t="shared" ref="V75:W75" si="80">B421</f>
        <v>172</v>
      </c>
      <c r="W75" s="20">
        <f t="shared" si="80"/>
        <v>49</v>
      </c>
    </row>
    <row r="76" ht="18.75" customHeight="1">
      <c r="A76" s="21">
        <f t="shared" si="4"/>
        <v>45385</v>
      </c>
      <c r="B76" s="22">
        <f t="shared" si="5"/>
        <v>191</v>
      </c>
      <c r="C76" s="22">
        <f t="shared" si="6"/>
        <v>20</v>
      </c>
      <c r="D76" s="23">
        <f t="shared" si="7"/>
        <v>171</v>
      </c>
      <c r="E76" s="24">
        <f>'相関係数'!A76</f>
        <v>45385</v>
      </c>
      <c r="F76" s="25">
        <f>'相関係数'!B76</f>
        <v>191</v>
      </c>
      <c r="G76" s="25">
        <f>'相関係数'!C76</f>
        <v>20</v>
      </c>
      <c r="T76" s="29">
        <f>A420</f>
        <v>44873</v>
      </c>
      <c r="U76" s="20">
        <f>D420</f>
        <v>126</v>
      </c>
      <c r="V76" s="30">
        <f t="shared" ref="V76:W76" si="81">B420</f>
        <v>174</v>
      </c>
      <c r="W76" s="20">
        <f t="shared" si="81"/>
        <v>48</v>
      </c>
    </row>
    <row r="77" ht="18.75" customHeight="1">
      <c r="A77" s="21">
        <f t="shared" si="4"/>
        <v>45384</v>
      </c>
      <c r="B77" s="22">
        <f t="shared" si="5"/>
        <v>185</v>
      </c>
      <c r="C77" s="22">
        <f t="shared" si="6"/>
        <v>20</v>
      </c>
      <c r="D77" s="23">
        <f t="shared" si="7"/>
        <v>165</v>
      </c>
      <c r="E77" s="24">
        <f>'相関係数'!A77</f>
        <v>45384</v>
      </c>
      <c r="F77" s="25">
        <f>'相関係数'!B77</f>
        <v>185</v>
      </c>
      <c r="G77" s="25">
        <f>'相関係数'!C77</f>
        <v>20</v>
      </c>
      <c r="T77" s="29">
        <f>A419</f>
        <v>44874</v>
      </c>
      <c r="U77" s="20">
        <f>D419</f>
        <v>129</v>
      </c>
      <c r="V77" s="30">
        <f t="shared" ref="V77:W77" si="82">B419</f>
        <v>176</v>
      </c>
      <c r="W77" s="20">
        <f t="shared" si="82"/>
        <v>47</v>
      </c>
    </row>
    <row r="78" ht="18.75" customHeight="1">
      <c r="A78" s="21">
        <f t="shared" si="4"/>
        <v>45383</v>
      </c>
      <c r="B78" s="22">
        <f t="shared" si="5"/>
        <v>197</v>
      </c>
      <c r="C78" s="22">
        <f t="shared" si="6"/>
        <v>19</v>
      </c>
      <c r="D78" s="23">
        <f t="shared" si="7"/>
        <v>178</v>
      </c>
      <c r="E78" s="24">
        <f>'相関係数'!A78</f>
        <v>45383</v>
      </c>
      <c r="F78" s="25">
        <f>'相関係数'!B78</f>
        <v>197</v>
      </c>
      <c r="G78" s="25">
        <f>'相関係数'!C78</f>
        <v>19</v>
      </c>
      <c r="T78" s="29">
        <f>A418</f>
        <v>44875</v>
      </c>
      <c r="U78" s="20">
        <f>D418</f>
        <v>127</v>
      </c>
      <c r="V78" s="30">
        <f t="shared" ref="V78:W78" si="83">B418</f>
        <v>174</v>
      </c>
      <c r="W78" s="20">
        <f t="shared" si="83"/>
        <v>47</v>
      </c>
    </row>
    <row r="79" ht="18.75" customHeight="1">
      <c r="A79" s="21">
        <f t="shared" si="4"/>
        <v>45380</v>
      </c>
      <c r="B79" s="22">
        <f t="shared" si="5"/>
        <v>194</v>
      </c>
      <c r="C79" s="22">
        <f t="shared" si="6"/>
        <v>20</v>
      </c>
      <c r="D79" s="23">
        <f t="shared" si="7"/>
        <v>174</v>
      </c>
      <c r="E79" s="24">
        <f>'相関係数'!A79</f>
        <v>45380</v>
      </c>
      <c r="F79" s="25">
        <f>'相関係数'!B79</f>
        <v>194</v>
      </c>
      <c r="G79" s="25">
        <f>'相関係数'!C79</f>
        <v>20</v>
      </c>
      <c r="T79" s="29">
        <f>A417</f>
        <v>44876</v>
      </c>
      <c r="U79" s="20">
        <f>D417</f>
        <v>127</v>
      </c>
      <c r="V79" s="30">
        <f t="shared" ref="V79:W79" si="84">B417</f>
        <v>176</v>
      </c>
      <c r="W79" s="20">
        <f t="shared" si="84"/>
        <v>49</v>
      </c>
    </row>
    <row r="80" ht="18.75" customHeight="1">
      <c r="A80" s="21">
        <f t="shared" si="4"/>
        <v>45379</v>
      </c>
      <c r="B80" s="22">
        <f t="shared" si="5"/>
        <v>169</v>
      </c>
      <c r="C80" s="22">
        <f t="shared" si="6"/>
        <v>19</v>
      </c>
      <c r="D80" s="23">
        <f t="shared" si="7"/>
        <v>150</v>
      </c>
      <c r="E80" s="24">
        <f>'相関係数'!A80</f>
        <v>45379</v>
      </c>
      <c r="F80" s="25">
        <f>'相関係数'!B80</f>
        <v>169</v>
      </c>
      <c r="G80" s="25">
        <f>'相関係数'!C80</f>
        <v>19</v>
      </c>
      <c r="T80" s="29">
        <f>A416</f>
        <v>44879</v>
      </c>
      <c r="U80" s="20">
        <f>D416</f>
        <v>126</v>
      </c>
      <c r="V80" s="30">
        <f t="shared" ref="V80:W80" si="85">B416</f>
        <v>173</v>
      </c>
      <c r="W80" s="20">
        <f t="shared" si="85"/>
        <v>47</v>
      </c>
    </row>
    <row r="81" ht="18.75" customHeight="1">
      <c r="A81" s="21">
        <f t="shared" si="4"/>
        <v>45378</v>
      </c>
      <c r="B81" s="22">
        <f t="shared" si="5"/>
        <v>175</v>
      </c>
      <c r="C81" s="22">
        <f t="shared" si="6"/>
        <v>20</v>
      </c>
      <c r="D81" s="23">
        <f t="shared" si="7"/>
        <v>155</v>
      </c>
      <c r="E81" s="24">
        <f>'相関係数'!A81</f>
        <v>45378</v>
      </c>
      <c r="F81" s="25">
        <f>'相関係数'!B81</f>
        <v>175</v>
      </c>
      <c r="G81" s="25">
        <f>'相関係数'!C81</f>
        <v>20</v>
      </c>
      <c r="T81" s="29">
        <f>A415</f>
        <v>44880</v>
      </c>
      <c r="U81" s="20">
        <f>D415</f>
        <v>125</v>
      </c>
      <c r="V81" s="30">
        <f t="shared" ref="V81:W81" si="86">B415</f>
        <v>173</v>
      </c>
      <c r="W81" s="20">
        <f t="shared" si="86"/>
        <v>48</v>
      </c>
    </row>
    <row r="82" ht="18.75" customHeight="1">
      <c r="A82" s="21">
        <f t="shared" si="4"/>
        <v>45377</v>
      </c>
      <c r="B82" s="22">
        <f t="shared" si="5"/>
        <v>176</v>
      </c>
      <c r="C82" s="22">
        <f t="shared" si="6"/>
        <v>21</v>
      </c>
      <c r="D82" s="23">
        <f t="shared" si="7"/>
        <v>155</v>
      </c>
      <c r="E82" s="24">
        <f>'相関係数'!A82</f>
        <v>45377</v>
      </c>
      <c r="F82" s="25">
        <f>'相関係数'!B82</f>
        <v>176</v>
      </c>
      <c r="G82" s="25">
        <f>'相関係数'!C82</f>
        <v>21</v>
      </c>
      <c r="T82" s="29">
        <f>A414</f>
        <v>44881</v>
      </c>
      <c r="U82" s="20">
        <f>D414</f>
        <v>124</v>
      </c>
      <c r="V82" s="30">
        <f t="shared" ref="V82:W82" si="87">B414</f>
        <v>171</v>
      </c>
      <c r="W82" s="20">
        <f t="shared" si="87"/>
        <v>47</v>
      </c>
    </row>
    <row r="83" ht="18.75" customHeight="1">
      <c r="A83" s="21">
        <f t="shared" si="4"/>
        <v>45376</v>
      </c>
      <c r="B83" s="22">
        <f t="shared" si="5"/>
        <v>182</v>
      </c>
      <c r="C83" s="22">
        <f t="shared" si="6"/>
        <v>21</v>
      </c>
      <c r="D83" s="23">
        <f t="shared" si="7"/>
        <v>161</v>
      </c>
      <c r="E83" s="24">
        <f>'相関係数'!A83</f>
        <v>45376</v>
      </c>
      <c r="F83" s="25">
        <f>'相関係数'!B83</f>
        <v>182</v>
      </c>
      <c r="G83" s="25">
        <f>'相関係数'!C83</f>
        <v>21</v>
      </c>
      <c r="T83" s="29">
        <f>A413</f>
        <v>44882</v>
      </c>
      <c r="U83" s="20">
        <f>D413</f>
        <v>123</v>
      </c>
      <c r="V83" s="30">
        <f t="shared" ref="V83:W83" si="88">B413</f>
        <v>171</v>
      </c>
      <c r="W83" s="20">
        <f t="shared" si="88"/>
        <v>48</v>
      </c>
    </row>
    <row r="84" ht="18.75" customHeight="1">
      <c r="A84" s="21">
        <f t="shared" si="4"/>
        <v>45373</v>
      </c>
      <c r="B84" s="22">
        <f t="shared" si="5"/>
        <v>184</v>
      </c>
      <c r="C84" s="22">
        <f t="shared" si="6"/>
        <v>21</v>
      </c>
      <c r="D84" s="23">
        <f t="shared" si="7"/>
        <v>163</v>
      </c>
      <c r="E84" s="24">
        <f>'相関係数'!A84</f>
        <v>45373</v>
      </c>
      <c r="F84" s="25">
        <f>'相関係数'!B84</f>
        <v>184</v>
      </c>
      <c r="G84" s="25">
        <f>'相関係数'!C84</f>
        <v>21</v>
      </c>
      <c r="T84" s="29">
        <f>A412</f>
        <v>44883</v>
      </c>
      <c r="U84" s="20">
        <f>D412</f>
        <v>121</v>
      </c>
      <c r="V84" s="30">
        <f t="shared" ref="V84:W84" si="89">B412</f>
        <v>171</v>
      </c>
      <c r="W84" s="20">
        <f t="shared" si="89"/>
        <v>50</v>
      </c>
    </row>
    <row r="85" ht="18.75" customHeight="1">
      <c r="A85" s="21">
        <f t="shared" si="4"/>
        <v>45372</v>
      </c>
      <c r="B85" s="22">
        <f t="shared" si="5"/>
        <v>178</v>
      </c>
      <c r="C85" s="22">
        <f t="shared" si="6"/>
        <v>21</v>
      </c>
      <c r="D85" s="23">
        <f t="shared" si="7"/>
        <v>157</v>
      </c>
      <c r="E85" s="24">
        <f>'相関係数'!A85</f>
        <v>45372</v>
      </c>
      <c r="F85" s="25">
        <f>'相関係数'!B85</f>
        <v>178</v>
      </c>
      <c r="G85" s="25">
        <f>'相関係数'!C85</f>
        <v>21</v>
      </c>
      <c r="T85" s="29">
        <f>A411</f>
        <v>44886</v>
      </c>
      <c r="U85" s="20">
        <f>D411</f>
        <v>122</v>
      </c>
      <c r="V85" s="30">
        <f t="shared" ref="V85:W85" si="90">B411</f>
        <v>171</v>
      </c>
      <c r="W85" s="20">
        <f t="shared" si="90"/>
        <v>49</v>
      </c>
    </row>
    <row r="86" ht="18.75" customHeight="1">
      <c r="A86" s="21">
        <f t="shared" si="4"/>
        <v>45370</v>
      </c>
      <c r="B86" s="22">
        <f t="shared" si="5"/>
        <v>176</v>
      </c>
      <c r="C86" s="22">
        <f t="shared" si="6"/>
        <v>20</v>
      </c>
      <c r="D86" s="23">
        <f t="shared" si="7"/>
        <v>156</v>
      </c>
      <c r="E86" s="24">
        <f>'相関係数'!A86</f>
        <v>45370</v>
      </c>
      <c r="F86" s="25">
        <f>'相関係数'!B86</f>
        <v>176</v>
      </c>
      <c r="G86" s="25">
        <f>'相関係数'!C86</f>
        <v>20</v>
      </c>
      <c r="T86" s="29">
        <f>A410</f>
        <v>44887</v>
      </c>
      <c r="U86" s="20">
        <f>D410</f>
        <v>123</v>
      </c>
      <c r="V86" s="30">
        <f t="shared" ref="V86:W86" si="91">B410</f>
        <v>170</v>
      </c>
      <c r="W86" s="20">
        <f t="shared" si="91"/>
        <v>47</v>
      </c>
    </row>
    <row r="87" ht="18.75" customHeight="1">
      <c r="A87" s="21">
        <f t="shared" si="4"/>
        <v>45369</v>
      </c>
      <c r="B87" s="22">
        <f t="shared" si="5"/>
        <v>179</v>
      </c>
      <c r="C87" s="22">
        <f t="shared" si="6"/>
        <v>21</v>
      </c>
      <c r="D87" s="23">
        <f t="shared" si="7"/>
        <v>158</v>
      </c>
      <c r="E87" s="24">
        <f>'相関係数'!A87</f>
        <v>45369</v>
      </c>
      <c r="F87" s="25">
        <f>'相関係数'!B87</f>
        <v>179</v>
      </c>
      <c r="G87" s="25">
        <f>'相関係数'!C87</f>
        <v>21</v>
      </c>
      <c r="T87" s="29">
        <f>A409</f>
        <v>44889</v>
      </c>
      <c r="U87" s="20">
        <f>D409</f>
        <v>122</v>
      </c>
      <c r="V87" s="30">
        <f t="shared" ref="V87:W87" si="92">B409</f>
        <v>170</v>
      </c>
      <c r="W87" s="20">
        <f t="shared" si="92"/>
        <v>48</v>
      </c>
    </row>
    <row r="88" ht="18.75" customHeight="1">
      <c r="A88" s="21">
        <f t="shared" si="4"/>
        <v>45366</v>
      </c>
      <c r="B88" s="22">
        <f t="shared" si="5"/>
        <v>172</v>
      </c>
      <c r="C88" s="22">
        <f t="shared" si="6"/>
        <v>20</v>
      </c>
      <c r="D88" s="23">
        <f t="shared" si="7"/>
        <v>152</v>
      </c>
      <c r="E88" s="24">
        <f>'相関係数'!A88</f>
        <v>45366</v>
      </c>
      <c r="F88" s="25">
        <f>'相関係数'!B88</f>
        <v>172</v>
      </c>
      <c r="G88" s="25">
        <f>'相関係数'!C88</f>
        <v>20</v>
      </c>
      <c r="T88" s="29">
        <f>A408</f>
        <v>44890</v>
      </c>
      <c r="U88" s="20">
        <f>D408</f>
        <v>121</v>
      </c>
      <c r="V88" s="30">
        <f t="shared" ref="V88:W88" si="93">B408</f>
        <v>169</v>
      </c>
      <c r="W88" s="20">
        <f t="shared" si="93"/>
        <v>48</v>
      </c>
    </row>
    <row r="89" ht="18.75" customHeight="1">
      <c r="A89" s="21">
        <f t="shared" si="4"/>
        <v>45365</v>
      </c>
      <c r="B89" s="22">
        <f t="shared" si="5"/>
        <v>175</v>
      </c>
      <c r="C89" s="22">
        <f t="shared" si="6"/>
        <v>19</v>
      </c>
      <c r="D89" s="23">
        <f t="shared" si="7"/>
        <v>156</v>
      </c>
      <c r="E89" s="24">
        <f>'相関係数'!A89</f>
        <v>45365</v>
      </c>
      <c r="F89" s="25">
        <f>'相関係数'!B89</f>
        <v>175</v>
      </c>
      <c r="G89" s="25">
        <f>'相関係数'!C89</f>
        <v>19</v>
      </c>
      <c r="T89" s="29">
        <f>A407</f>
        <v>44893</v>
      </c>
      <c r="U89" s="20">
        <f>D407</f>
        <v>119</v>
      </c>
      <c r="V89" s="30">
        <f t="shared" ref="V89:W89" si="94">B407</f>
        <v>168</v>
      </c>
      <c r="W89" s="20">
        <f t="shared" si="94"/>
        <v>49</v>
      </c>
    </row>
    <row r="90" ht="18.75" customHeight="1">
      <c r="A90" s="21">
        <f t="shared" si="4"/>
        <v>45364</v>
      </c>
      <c r="B90" s="22">
        <f t="shared" si="5"/>
        <v>178</v>
      </c>
      <c r="C90" s="22">
        <f t="shared" si="6"/>
        <v>20</v>
      </c>
      <c r="D90" s="23">
        <f t="shared" si="7"/>
        <v>158</v>
      </c>
      <c r="E90" s="24">
        <f>'相関係数'!A90</f>
        <v>45364</v>
      </c>
      <c r="F90" s="25">
        <f>'相関係数'!B90</f>
        <v>178</v>
      </c>
      <c r="G90" s="25">
        <f>'相関係数'!C90</f>
        <v>20</v>
      </c>
      <c r="T90" s="29">
        <f>A406</f>
        <v>44894</v>
      </c>
      <c r="U90" s="20">
        <f>D406</f>
        <v>120</v>
      </c>
      <c r="V90" s="30">
        <f t="shared" ref="V90:W90" si="95">B406</f>
        <v>168</v>
      </c>
      <c r="W90" s="20">
        <f t="shared" si="95"/>
        <v>48</v>
      </c>
    </row>
    <row r="91" ht="18.75" customHeight="1">
      <c r="A91" s="21">
        <f t="shared" si="4"/>
        <v>45363</v>
      </c>
      <c r="B91" s="22">
        <f t="shared" si="5"/>
        <v>192</v>
      </c>
      <c r="C91" s="22">
        <f t="shared" si="6"/>
        <v>20</v>
      </c>
      <c r="D91" s="23">
        <f t="shared" si="7"/>
        <v>172</v>
      </c>
      <c r="E91" s="24">
        <f>'相関係数'!A91</f>
        <v>45363</v>
      </c>
      <c r="F91" s="25">
        <f>'相関係数'!B91</f>
        <v>192</v>
      </c>
      <c r="G91" s="25">
        <f>'相関係数'!C91</f>
        <v>20</v>
      </c>
      <c r="T91" s="29">
        <f>A405</f>
        <v>44895</v>
      </c>
      <c r="U91" s="20">
        <f>D405</f>
        <v>117</v>
      </c>
      <c r="V91" s="30">
        <f t="shared" ref="V91:W91" si="96">B405</f>
        <v>167</v>
      </c>
      <c r="W91" s="20">
        <f t="shared" si="96"/>
        <v>50</v>
      </c>
    </row>
    <row r="92" ht="18.75" customHeight="1">
      <c r="A92" s="21">
        <f t="shared" si="4"/>
        <v>45362</v>
      </c>
      <c r="B92" s="22">
        <f t="shared" si="5"/>
        <v>184</v>
      </c>
      <c r="C92" s="22">
        <f t="shared" si="6"/>
        <v>20</v>
      </c>
      <c r="D92" s="23">
        <f t="shared" si="7"/>
        <v>164</v>
      </c>
      <c r="E92" s="24">
        <f>'相関係数'!A92</f>
        <v>45362</v>
      </c>
      <c r="F92" s="25">
        <f>'相関係数'!B92</f>
        <v>184</v>
      </c>
      <c r="G92" s="25">
        <f>'相関係数'!C92</f>
        <v>20</v>
      </c>
      <c r="T92" s="29">
        <f>A404</f>
        <v>44896</v>
      </c>
      <c r="U92" s="20">
        <f>D404</f>
        <v>114</v>
      </c>
      <c r="V92" s="30">
        <f t="shared" ref="V92:W92" si="97">B404</f>
        <v>168</v>
      </c>
      <c r="W92" s="20">
        <f t="shared" si="97"/>
        <v>54</v>
      </c>
    </row>
    <row r="93" ht="18.75" customHeight="1">
      <c r="A93" s="21">
        <f t="shared" si="4"/>
        <v>45359</v>
      </c>
      <c r="B93" s="22">
        <f t="shared" si="5"/>
        <v>186</v>
      </c>
      <c r="C93" s="22">
        <f t="shared" si="6"/>
        <v>19</v>
      </c>
      <c r="D93" s="23">
        <f t="shared" si="7"/>
        <v>167</v>
      </c>
      <c r="E93" s="24">
        <f>'相関係数'!A93</f>
        <v>45359</v>
      </c>
      <c r="F93" s="25">
        <f>'相関係数'!B93</f>
        <v>186</v>
      </c>
      <c r="G93" s="25">
        <f>'相関係数'!C93</f>
        <v>19</v>
      </c>
      <c r="T93" s="29">
        <f>A403</f>
        <v>44897</v>
      </c>
      <c r="U93" s="20">
        <f>D403</f>
        <v>115</v>
      </c>
      <c r="V93" s="30">
        <f t="shared" ref="V93:W93" si="98">B403</f>
        <v>166</v>
      </c>
      <c r="W93" s="20">
        <f t="shared" si="98"/>
        <v>51</v>
      </c>
    </row>
    <row r="94" ht="18.75" customHeight="1">
      <c r="A94" s="21">
        <f t="shared" si="4"/>
        <v>45358</v>
      </c>
      <c r="B94" s="22">
        <f t="shared" si="5"/>
        <v>241</v>
      </c>
      <c r="C94" s="22">
        <f t="shared" si="6"/>
        <v>20</v>
      </c>
      <c r="D94" s="23">
        <f t="shared" si="7"/>
        <v>221</v>
      </c>
      <c r="E94" s="24">
        <f>'相関係数'!A94</f>
        <v>45358</v>
      </c>
      <c r="F94" s="25">
        <f>'相関係数'!B94</f>
        <v>241</v>
      </c>
      <c r="G94" s="25">
        <f>'相関係数'!C94</f>
        <v>20</v>
      </c>
      <c r="T94" s="29">
        <f>A402</f>
        <v>44900</v>
      </c>
      <c r="U94" s="20">
        <f>D402</f>
        <v>115</v>
      </c>
      <c r="V94" s="30">
        <f t="shared" ref="V94:W94" si="99">B402</f>
        <v>164</v>
      </c>
      <c r="W94" s="20">
        <f t="shared" si="99"/>
        <v>49</v>
      </c>
    </row>
    <row r="95" ht="18.75" customHeight="1">
      <c r="A95" s="21">
        <f t="shared" si="4"/>
        <v>45357</v>
      </c>
      <c r="B95" s="22">
        <f t="shared" si="5"/>
        <v>191</v>
      </c>
      <c r="C95" s="22">
        <f t="shared" si="6"/>
        <v>21</v>
      </c>
      <c r="D95" s="23">
        <f t="shared" si="7"/>
        <v>170</v>
      </c>
      <c r="E95" s="24">
        <f>'相関係数'!A95</f>
        <v>45357</v>
      </c>
      <c r="F95" s="25">
        <f>'相関係数'!B95</f>
        <v>191</v>
      </c>
      <c r="G95" s="25">
        <f>'相関係数'!C95</f>
        <v>21</v>
      </c>
      <c r="T95" s="29">
        <f>A401</f>
        <v>44901</v>
      </c>
      <c r="U95" s="20">
        <f>D401</f>
        <v>112</v>
      </c>
      <c r="V95" s="30">
        <f t="shared" ref="V95:W95" si="100">B401</f>
        <v>162</v>
      </c>
      <c r="W95" s="20">
        <f t="shared" si="100"/>
        <v>50</v>
      </c>
    </row>
    <row r="96" ht="18.75" customHeight="1">
      <c r="A96" s="21">
        <f t="shared" si="4"/>
        <v>45356</v>
      </c>
      <c r="B96" s="22">
        <f t="shared" si="5"/>
        <v>175</v>
      </c>
      <c r="C96" s="22">
        <f t="shared" si="6"/>
        <v>22</v>
      </c>
      <c r="D96" s="23">
        <f t="shared" si="7"/>
        <v>153</v>
      </c>
      <c r="E96" s="24">
        <f>'相関係数'!A96</f>
        <v>45356</v>
      </c>
      <c r="F96" s="25">
        <f>'相関係数'!B96</f>
        <v>175</v>
      </c>
      <c r="G96" s="25">
        <f>'相関係数'!C96</f>
        <v>22</v>
      </c>
      <c r="T96" s="29">
        <f>A400</f>
        <v>44902</v>
      </c>
      <c r="U96" s="20">
        <f>D400</f>
        <v>111</v>
      </c>
      <c r="V96" s="30">
        <f t="shared" ref="V96:W96" si="101">B400</f>
        <v>163</v>
      </c>
      <c r="W96" s="20">
        <f t="shared" si="101"/>
        <v>52</v>
      </c>
    </row>
    <row r="97" ht="18.75" customHeight="1">
      <c r="A97" s="21">
        <f t="shared" si="4"/>
        <v>45355</v>
      </c>
      <c r="B97" s="22">
        <f t="shared" si="5"/>
        <v>158</v>
      </c>
      <c r="C97" s="22">
        <f t="shared" si="6"/>
        <v>21</v>
      </c>
      <c r="D97" s="23">
        <f t="shared" si="7"/>
        <v>137</v>
      </c>
      <c r="E97" s="24">
        <f>'相関係数'!A97</f>
        <v>45355</v>
      </c>
      <c r="F97" s="25">
        <f>'相関係数'!B97</f>
        <v>158</v>
      </c>
      <c r="G97" s="25">
        <f>'相関係数'!C97</f>
        <v>21</v>
      </c>
      <c r="T97" s="29">
        <f>A399</f>
        <v>44903</v>
      </c>
      <c r="U97" s="20">
        <f>D399</f>
        <v>108</v>
      </c>
      <c r="V97" s="30">
        <f t="shared" ref="V97:W97" si="102">B399</f>
        <v>161</v>
      </c>
      <c r="W97" s="20">
        <f t="shared" si="102"/>
        <v>53</v>
      </c>
    </row>
    <row r="98" ht="18.75" customHeight="1">
      <c r="A98" s="21">
        <f t="shared" si="4"/>
        <v>45352</v>
      </c>
      <c r="B98" s="22">
        <f t="shared" si="5"/>
        <v>156</v>
      </c>
      <c r="C98" s="22">
        <f t="shared" si="6"/>
        <v>21</v>
      </c>
      <c r="D98" s="23">
        <f t="shared" si="7"/>
        <v>135</v>
      </c>
      <c r="E98" s="24">
        <f>'相関係数'!A98</f>
        <v>45352</v>
      </c>
      <c r="F98" s="25">
        <f>'相関係数'!B98</f>
        <v>156</v>
      </c>
      <c r="G98" s="25">
        <f>'相関係数'!C98</f>
        <v>21</v>
      </c>
      <c r="T98" s="29">
        <f>A398</f>
        <v>44904</v>
      </c>
      <c r="U98" s="20">
        <f>D398</f>
        <v>109</v>
      </c>
      <c r="V98" s="30">
        <f t="shared" ref="V98:W98" si="103">B398</f>
        <v>161</v>
      </c>
      <c r="W98" s="20">
        <f t="shared" si="103"/>
        <v>52</v>
      </c>
    </row>
    <row r="99" ht="18.75" customHeight="1">
      <c r="A99" s="21">
        <f t="shared" si="4"/>
        <v>45351</v>
      </c>
      <c r="B99" s="22">
        <f t="shared" si="5"/>
        <v>157</v>
      </c>
      <c r="C99" s="22">
        <f t="shared" si="6"/>
        <v>22</v>
      </c>
      <c r="D99" s="23">
        <f t="shared" si="7"/>
        <v>135</v>
      </c>
      <c r="E99" s="24">
        <f>'相関係数'!A99</f>
        <v>45351</v>
      </c>
      <c r="F99" s="25">
        <f>'相関係数'!B99</f>
        <v>157</v>
      </c>
      <c r="G99" s="25">
        <f>'相関係数'!C99</f>
        <v>22</v>
      </c>
      <c r="T99" s="29">
        <f>A397</f>
        <v>44907</v>
      </c>
      <c r="U99" s="20">
        <f>D397</f>
        <v>109</v>
      </c>
      <c r="V99" s="30">
        <f t="shared" ref="V99:W99" si="104">B397</f>
        <v>162</v>
      </c>
      <c r="W99" s="20">
        <f t="shared" si="104"/>
        <v>53</v>
      </c>
    </row>
    <row r="100" ht="18.75" customHeight="1">
      <c r="A100" s="21">
        <f t="shared" si="4"/>
        <v>45350</v>
      </c>
      <c r="B100" s="22">
        <f t="shared" si="5"/>
        <v>162</v>
      </c>
      <c r="C100" s="22">
        <f t="shared" si="6"/>
        <v>19</v>
      </c>
      <c r="D100" s="23">
        <f t="shared" si="7"/>
        <v>143</v>
      </c>
      <c r="E100" s="24">
        <f>'相関係数'!A100</f>
        <v>45350</v>
      </c>
      <c r="F100" s="25">
        <f>'相関係数'!B100</f>
        <v>162</v>
      </c>
      <c r="G100" s="25">
        <f>'相関係数'!C100</f>
        <v>19</v>
      </c>
      <c r="T100" s="29">
        <f>A396</f>
        <v>44908</v>
      </c>
      <c r="U100" s="20">
        <f>D396</f>
        <v>109</v>
      </c>
      <c r="V100" s="30">
        <f t="shared" ref="V100:W100" si="105">B396</f>
        <v>162</v>
      </c>
      <c r="W100" s="20">
        <f t="shared" si="105"/>
        <v>53</v>
      </c>
    </row>
    <row r="101" ht="18.75" customHeight="1">
      <c r="A101" s="21">
        <f t="shared" si="4"/>
        <v>45349</v>
      </c>
      <c r="B101" s="22">
        <f t="shared" si="5"/>
        <v>163</v>
      </c>
      <c r="C101" s="22">
        <f t="shared" si="6"/>
        <v>18</v>
      </c>
      <c r="D101" s="23">
        <f t="shared" si="7"/>
        <v>145</v>
      </c>
      <c r="E101" s="24">
        <f>'相関係数'!A101</f>
        <v>45349</v>
      </c>
      <c r="F101" s="25">
        <f>'相関係数'!B101</f>
        <v>163</v>
      </c>
      <c r="G101" s="25">
        <f>'相関係数'!C101</f>
        <v>18</v>
      </c>
      <c r="T101" s="29">
        <f>A395</f>
        <v>44909</v>
      </c>
      <c r="U101" s="20">
        <f>D395</f>
        <v>111</v>
      </c>
      <c r="V101" s="30">
        <f t="shared" ref="V101:W101" si="106">B395</f>
        <v>165</v>
      </c>
      <c r="W101" s="20">
        <f t="shared" si="106"/>
        <v>54</v>
      </c>
    </row>
    <row r="102" ht="18.75" customHeight="1">
      <c r="A102" s="21">
        <f t="shared" si="4"/>
        <v>45348</v>
      </c>
      <c r="B102" s="22">
        <f t="shared" si="5"/>
        <v>163</v>
      </c>
      <c r="C102" s="22">
        <f t="shared" si="6"/>
        <v>17</v>
      </c>
      <c r="D102" s="23">
        <f t="shared" si="7"/>
        <v>146</v>
      </c>
      <c r="E102" s="24">
        <f>'相関係数'!A102</f>
        <v>45348</v>
      </c>
      <c r="F102" s="25">
        <f>'相関係数'!B102</f>
        <v>163</v>
      </c>
      <c r="G102" s="25">
        <f>'相関係数'!C102</f>
        <v>17</v>
      </c>
      <c r="T102" s="29">
        <f>A394</f>
        <v>44910</v>
      </c>
      <c r="U102" s="20">
        <f>D394</f>
        <v>116</v>
      </c>
      <c r="V102" s="30">
        <f t="shared" ref="V102:W102" si="107">B394</f>
        <v>168</v>
      </c>
      <c r="W102" s="20">
        <f t="shared" si="107"/>
        <v>52</v>
      </c>
    </row>
    <row r="103" ht="18.75" customHeight="1">
      <c r="A103" s="21">
        <f t="shared" si="4"/>
        <v>45344</v>
      </c>
      <c r="B103" s="22">
        <f t="shared" si="5"/>
        <v>154</v>
      </c>
      <c r="C103" s="22">
        <f t="shared" si="6"/>
        <v>17</v>
      </c>
      <c r="D103" s="23">
        <f t="shared" si="7"/>
        <v>137</v>
      </c>
      <c r="E103" s="24">
        <f>'相関係数'!A103</f>
        <v>45344</v>
      </c>
      <c r="F103" s="25">
        <f>'相関係数'!B103</f>
        <v>154</v>
      </c>
      <c r="G103" s="25">
        <f>'相関係数'!C103</f>
        <v>17</v>
      </c>
      <c r="T103" s="29">
        <f>A393</f>
        <v>44911</v>
      </c>
      <c r="U103" s="20">
        <f>D393</f>
        <v>127</v>
      </c>
      <c r="V103" s="30">
        <f t="shared" ref="V103:W103" si="108">B393</f>
        <v>178</v>
      </c>
      <c r="W103" s="20">
        <f t="shared" si="108"/>
        <v>51</v>
      </c>
    </row>
    <row r="104" ht="18.75" customHeight="1">
      <c r="A104" s="21">
        <f t="shared" si="4"/>
        <v>45343</v>
      </c>
      <c r="B104" s="22">
        <f t="shared" si="5"/>
        <v>159</v>
      </c>
      <c r="C104" s="22">
        <f t="shared" si="6"/>
        <v>18</v>
      </c>
      <c r="D104" s="23">
        <f t="shared" si="7"/>
        <v>141</v>
      </c>
      <c r="E104" s="24">
        <f>'相関係数'!A104</f>
        <v>45343</v>
      </c>
      <c r="F104" s="25">
        <f>'相関係数'!B104</f>
        <v>159</v>
      </c>
      <c r="G104" s="25">
        <f>'相関係数'!C104</f>
        <v>18</v>
      </c>
      <c r="T104" s="29">
        <f>A392</f>
        <v>44914</v>
      </c>
      <c r="U104" s="20">
        <f>D392</f>
        <v>116</v>
      </c>
      <c r="V104" s="30">
        <f t="shared" ref="V104:W104" si="109">B392</f>
        <v>166</v>
      </c>
      <c r="W104" s="20">
        <f t="shared" si="109"/>
        <v>50</v>
      </c>
    </row>
    <row r="105" ht="18.75" customHeight="1">
      <c r="A105" s="21">
        <f t="shared" si="4"/>
        <v>45342</v>
      </c>
      <c r="B105" s="22">
        <f t="shared" si="5"/>
        <v>170</v>
      </c>
      <c r="C105" s="22">
        <f t="shared" si="6"/>
        <v>16</v>
      </c>
      <c r="D105" s="23">
        <f t="shared" si="7"/>
        <v>154</v>
      </c>
      <c r="E105" s="24">
        <f>'相関係数'!A105</f>
        <v>45342</v>
      </c>
      <c r="F105" s="25">
        <f>'相関係数'!B105</f>
        <v>170</v>
      </c>
      <c r="G105" s="25">
        <f>'相関係数'!C105</f>
        <v>16</v>
      </c>
      <c r="T105" s="29">
        <f>A391</f>
        <v>44915</v>
      </c>
      <c r="U105" s="20">
        <f>D391</f>
        <v>117</v>
      </c>
      <c r="V105" s="30">
        <f t="shared" ref="V105:W105" si="110">B391</f>
        <v>165</v>
      </c>
      <c r="W105" s="20">
        <f t="shared" si="110"/>
        <v>48</v>
      </c>
    </row>
    <row r="106" ht="18.75" customHeight="1">
      <c r="A106" s="21">
        <f t="shared" si="4"/>
        <v>45341</v>
      </c>
      <c r="B106" s="22">
        <f t="shared" si="5"/>
        <v>176</v>
      </c>
      <c r="C106" s="22">
        <f t="shared" si="6"/>
        <v>15</v>
      </c>
      <c r="D106" s="23">
        <f t="shared" si="7"/>
        <v>161</v>
      </c>
      <c r="E106" s="24">
        <f>'相関係数'!A106</f>
        <v>45341</v>
      </c>
      <c r="F106" s="25">
        <f>'相関係数'!B106</f>
        <v>176</v>
      </c>
      <c r="G106" s="25">
        <f>'相関係数'!C106</f>
        <v>15</v>
      </c>
      <c r="T106" s="29">
        <f>A390</f>
        <v>44916</v>
      </c>
      <c r="U106" s="20">
        <f>D390</f>
        <v>115</v>
      </c>
      <c r="V106" s="30">
        <f t="shared" ref="V106:W106" si="111">B390</f>
        <v>163</v>
      </c>
      <c r="W106" s="20">
        <f t="shared" si="111"/>
        <v>48</v>
      </c>
    </row>
    <row r="107" ht="18.75" customHeight="1">
      <c r="A107" s="21">
        <f t="shared" si="4"/>
        <v>45338</v>
      </c>
      <c r="B107" s="22">
        <f t="shared" si="5"/>
        <v>169</v>
      </c>
      <c r="C107" s="22">
        <f t="shared" si="6"/>
        <v>16</v>
      </c>
      <c r="D107" s="23">
        <f t="shared" si="7"/>
        <v>153</v>
      </c>
      <c r="E107" s="24">
        <f>'相関係数'!A107</f>
        <v>45338</v>
      </c>
      <c r="F107" s="25">
        <f>'相関係数'!B107</f>
        <v>169</v>
      </c>
      <c r="G107" s="25">
        <f>'相関係数'!C107</f>
        <v>16</v>
      </c>
      <c r="T107" s="29">
        <f>A389</f>
        <v>44917</v>
      </c>
      <c r="U107" s="20">
        <f>D389</f>
        <v>114</v>
      </c>
      <c r="V107" s="30">
        <f t="shared" ref="V107:W107" si="112">B389</f>
        <v>162</v>
      </c>
      <c r="W107" s="20">
        <f t="shared" si="112"/>
        <v>48</v>
      </c>
    </row>
    <row r="108" ht="18.75" customHeight="1">
      <c r="A108" s="21">
        <f t="shared" si="4"/>
        <v>45337</v>
      </c>
      <c r="B108" s="22">
        <f t="shared" si="5"/>
        <v>163</v>
      </c>
      <c r="C108" s="22">
        <f t="shared" si="6"/>
        <v>15</v>
      </c>
      <c r="D108" s="23">
        <f t="shared" si="7"/>
        <v>148</v>
      </c>
      <c r="E108" s="24">
        <f>'相関係数'!A108</f>
        <v>45337</v>
      </c>
      <c r="F108" s="25">
        <f>'相関係数'!B108</f>
        <v>163</v>
      </c>
      <c r="G108" s="25">
        <f>'相関係数'!C108</f>
        <v>15</v>
      </c>
      <c r="T108" s="29">
        <f>A388</f>
        <v>44918</v>
      </c>
      <c r="U108" s="20">
        <f>D388</f>
        <v>111</v>
      </c>
      <c r="V108" s="30">
        <f t="shared" ref="V108:W108" si="113">B388</f>
        <v>159</v>
      </c>
      <c r="W108" s="20">
        <f t="shared" si="113"/>
        <v>48</v>
      </c>
    </row>
    <row r="109" ht="18.75" customHeight="1">
      <c r="A109" s="21">
        <f t="shared" si="4"/>
        <v>45336</v>
      </c>
      <c r="B109" s="22">
        <f t="shared" si="5"/>
        <v>174</v>
      </c>
      <c r="C109" s="22">
        <f t="shared" si="6"/>
        <v>15</v>
      </c>
      <c r="D109" s="23">
        <f t="shared" si="7"/>
        <v>159</v>
      </c>
      <c r="E109" s="24">
        <f>'相関係数'!A109</f>
        <v>45336</v>
      </c>
      <c r="F109" s="25">
        <f>'相関係数'!B109</f>
        <v>174</v>
      </c>
      <c r="G109" s="25">
        <f>'相関係数'!C109</f>
        <v>15</v>
      </c>
      <c r="T109" s="29">
        <f>A387</f>
        <v>44921</v>
      </c>
      <c r="U109" s="20">
        <f>D387</f>
        <v>110</v>
      </c>
      <c r="V109" s="30">
        <f t="shared" ref="V109:W109" si="114">B387</f>
        <v>158</v>
      </c>
      <c r="W109" s="20">
        <f t="shared" si="114"/>
        <v>48</v>
      </c>
    </row>
    <row r="110" ht="18.75" customHeight="1">
      <c r="A110" s="21">
        <f t="shared" si="4"/>
        <v>45335</v>
      </c>
      <c r="B110" s="22">
        <f t="shared" si="5"/>
        <v>147</v>
      </c>
      <c r="C110" s="22">
        <f t="shared" si="6"/>
        <v>16</v>
      </c>
      <c r="D110" s="23">
        <f t="shared" si="7"/>
        <v>131</v>
      </c>
      <c r="E110" s="24">
        <f>'相関係数'!A110</f>
        <v>45335</v>
      </c>
      <c r="F110" s="25">
        <f>'相関係数'!B110</f>
        <v>147</v>
      </c>
      <c r="G110" s="25">
        <f>'相関係数'!C110</f>
        <v>16</v>
      </c>
      <c r="T110" s="29">
        <f>A386</f>
        <v>44922</v>
      </c>
      <c r="U110" s="20">
        <f>D386</f>
        <v>112</v>
      </c>
      <c r="V110" s="30">
        <f t="shared" ref="V110:W110" si="115">B386</f>
        <v>159</v>
      </c>
      <c r="W110" s="20">
        <f t="shared" si="115"/>
        <v>47</v>
      </c>
    </row>
    <row r="111" ht="18.75" customHeight="1">
      <c r="A111" s="21">
        <f t="shared" si="4"/>
        <v>45331</v>
      </c>
      <c r="B111" s="22">
        <f t="shared" si="5"/>
        <v>124</v>
      </c>
      <c r="C111" s="22">
        <f t="shared" si="6"/>
        <v>16</v>
      </c>
      <c r="D111" s="23">
        <f t="shared" si="7"/>
        <v>108</v>
      </c>
      <c r="E111" s="24">
        <f>'相関係数'!A111</f>
        <v>45331</v>
      </c>
      <c r="F111" s="25">
        <f>'相関係数'!B111</f>
        <v>124</v>
      </c>
      <c r="G111" s="25">
        <f>'相関係数'!C111</f>
        <v>16</v>
      </c>
      <c r="T111" s="29">
        <f>A385</f>
        <v>44923</v>
      </c>
      <c r="U111" s="20">
        <f>D385</f>
        <v>111</v>
      </c>
      <c r="V111" s="30">
        <f t="shared" ref="V111:W111" si="116">B385</f>
        <v>157</v>
      </c>
      <c r="W111" s="20">
        <f t="shared" si="116"/>
        <v>46</v>
      </c>
    </row>
    <row r="112" ht="18.75" customHeight="1">
      <c r="A112" s="21">
        <f t="shared" si="4"/>
        <v>45330</v>
      </c>
      <c r="B112" s="22">
        <f t="shared" si="5"/>
        <v>126</v>
      </c>
      <c r="C112" s="22">
        <f t="shared" si="6"/>
        <v>16</v>
      </c>
      <c r="D112" s="23">
        <f t="shared" si="7"/>
        <v>110</v>
      </c>
      <c r="E112" s="24">
        <f>'相関係数'!A112</f>
        <v>45330</v>
      </c>
      <c r="F112" s="25">
        <f>'相関係数'!B112</f>
        <v>126</v>
      </c>
      <c r="G112" s="25">
        <f>'相関係数'!C112</f>
        <v>16</v>
      </c>
      <c r="T112" s="29">
        <f>A384</f>
        <v>44924</v>
      </c>
      <c r="U112" s="20">
        <f>D384</f>
        <v>114</v>
      </c>
      <c r="V112" s="30">
        <f t="shared" ref="V112:W112" si="117">B384</f>
        <v>162</v>
      </c>
      <c r="W112" s="20">
        <f t="shared" si="117"/>
        <v>48</v>
      </c>
    </row>
    <row r="113" ht="18.75" customHeight="1">
      <c r="A113" s="21">
        <f t="shared" si="4"/>
        <v>45329</v>
      </c>
      <c r="B113" s="22">
        <f t="shared" si="5"/>
        <v>126</v>
      </c>
      <c r="C113" s="22">
        <f t="shared" si="6"/>
        <v>16</v>
      </c>
      <c r="D113" s="23">
        <f t="shared" si="7"/>
        <v>110</v>
      </c>
      <c r="E113" s="24">
        <f>'相関係数'!A113</f>
        <v>45329</v>
      </c>
      <c r="F113" s="25">
        <f>'相関係数'!B113</f>
        <v>126</v>
      </c>
      <c r="G113" s="25">
        <f>'相関係数'!C113</f>
        <v>16</v>
      </c>
      <c r="T113" s="29">
        <f>A383</f>
        <v>44925</v>
      </c>
      <c r="U113" s="20">
        <f>D383</f>
        <v>116</v>
      </c>
      <c r="V113" s="30">
        <f t="shared" ref="V113:W113" si="118">B383</f>
        <v>163</v>
      </c>
      <c r="W113" s="20">
        <f t="shared" si="118"/>
        <v>47</v>
      </c>
    </row>
    <row r="114" ht="18.75" customHeight="1">
      <c r="A114" s="21">
        <f t="shared" si="4"/>
        <v>45328</v>
      </c>
      <c r="B114" s="22">
        <f t="shared" si="5"/>
        <v>127</v>
      </c>
      <c r="C114" s="22">
        <f t="shared" si="6"/>
        <v>17</v>
      </c>
      <c r="D114" s="23">
        <f t="shared" si="7"/>
        <v>110</v>
      </c>
      <c r="E114" s="24">
        <f>'相関係数'!A114</f>
        <v>45328</v>
      </c>
      <c r="F114" s="25">
        <f>'相関係数'!B114</f>
        <v>127</v>
      </c>
      <c r="G114" s="25">
        <f>'相関係数'!C114</f>
        <v>17</v>
      </c>
      <c r="T114" s="29">
        <f>A382</f>
        <v>44930</v>
      </c>
      <c r="U114" s="20">
        <f>D382</f>
        <v>113</v>
      </c>
      <c r="V114" s="30">
        <f t="shared" ref="V114:W114" si="119">B382</f>
        <v>160</v>
      </c>
      <c r="W114" s="20">
        <f t="shared" si="119"/>
        <v>47</v>
      </c>
    </row>
    <row r="115" ht="18.75" customHeight="1">
      <c r="A115" s="21">
        <f t="shared" si="4"/>
        <v>45327</v>
      </c>
      <c r="B115" s="22">
        <f t="shared" si="5"/>
        <v>131</v>
      </c>
      <c r="C115" s="22">
        <f t="shared" si="6"/>
        <v>17</v>
      </c>
      <c r="D115" s="23">
        <f t="shared" si="7"/>
        <v>114</v>
      </c>
      <c r="E115" s="24">
        <f>'相関係数'!A115</f>
        <v>45327</v>
      </c>
      <c r="F115" s="25">
        <f>'相関係数'!B115</f>
        <v>131</v>
      </c>
      <c r="G115" s="25">
        <f>'相関係数'!C115</f>
        <v>17</v>
      </c>
      <c r="T115" s="29">
        <f>A381</f>
        <v>44931</v>
      </c>
      <c r="U115" s="20">
        <f>D381</f>
        <v>114</v>
      </c>
      <c r="V115" s="30">
        <f t="shared" ref="V115:W115" si="120">B381</f>
        <v>160</v>
      </c>
      <c r="W115" s="20">
        <f t="shared" si="120"/>
        <v>46</v>
      </c>
    </row>
    <row r="116" ht="18.75" customHeight="1">
      <c r="A116" s="21">
        <f t="shared" si="4"/>
        <v>45324</v>
      </c>
      <c r="B116" s="22">
        <f t="shared" si="5"/>
        <v>133</v>
      </c>
      <c r="C116" s="22">
        <f t="shared" si="6"/>
        <v>17</v>
      </c>
      <c r="D116" s="23">
        <f t="shared" si="7"/>
        <v>116</v>
      </c>
      <c r="E116" s="24">
        <f>'相関係数'!A116</f>
        <v>45324</v>
      </c>
      <c r="F116" s="25">
        <f>'相関係数'!B116</f>
        <v>133</v>
      </c>
      <c r="G116" s="25">
        <f>'相関係数'!C116</f>
        <v>17</v>
      </c>
      <c r="T116" s="29">
        <f>A380</f>
        <v>44932</v>
      </c>
      <c r="U116" s="20">
        <f>D380</f>
        <v>116</v>
      </c>
      <c r="V116" s="30">
        <f t="shared" ref="V116:W116" si="121">B380</f>
        <v>162</v>
      </c>
      <c r="W116" s="20">
        <f t="shared" si="121"/>
        <v>46</v>
      </c>
    </row>
    <row r="117" ht="18.75" customHeight="1">
      <c r="A117" s="21">
        <f t="shared" si="4"/>
        <v>45323</v>
      </c>
      <c r="B117" s="22">
        <f t="shared" si="5"/>
        <v>132</v>
      </c>
      <c r="C117" s="22">
        <f t="shared" si="6"/>
        <v>17</v>
      </c>
      <c r="D117" s="23">
        <f t="shared" si="7"/>
        <v>115</v>
      </c>
      <c r="E117" s="24">
        <f>'相関係数'!A117</f>
        <v>45323</v>
      </c>
      <c r="F117" s="25">
        <f>'相関係数'!B117</f>
        <v>132</v>
      </c>
      <c r="G117" s="25">
        <f>'相関係数'!C117</f>
        <v>17</v>
      </c>
      <c r="T117" s="29">
        <f>A379</f>
        <v>44936</v>
      </c>
      <c r="U117" s="20">
        <f>D379</f>
        <v>120</v>
      </c>
      <c r="V117" s="30">
        <f t="shared" ref="V117:W117" si="122">B379</f>
        <v>166</v>
      </c>
      <c r="W117" s="20">
        <f t="shared" si="122"/>
        <v>46</v>
      </c>
    </row>
    <row r="118" ht="18.75" customHeight="1">
      <c r="A118" s="21">
        <f t="shared" si="4"/>
        <v>45322</v>
      </c>
      <c r="B118" s="22">
        <f t="shared" si="5"/>
        <v>134</v>
      </c>
      <c r="C118" s="22">
        <f t="shared" si="6"/>
        <v>18</v>
      </c>
      <c r="D118" s="23">
        <f t="shared" si="7"/>
        <v>116</v>
      </c>
      <c r="E118" s="24">
        <f>'相関係数'!A118</f>
        <v>45322</v>
      </c>
      <c r="F118" s="25">
        <f>'相関係数'!B118</f>
        <v>134</v>
      </c>
      <c r="G118" s="25">
        <f>'相関係数'!C118</f>
        <v>18</v>
      </c>
      <c r="T118" s="29">
        <f>A378</f>
        <v>44937</v>
      </c>
      <c r="U118" s="20">
        <f>D378</f>
        <v>120</v>
      </c>
      <c r="V118" s="30">
        <f t="shared" ref="V118:W118" si="123">B378</f>
        <v>166</v>
      </c>
      <c r="W118" s="20">
        <f t="shared" si="123"/>
        <v>46</v>
      </c>
    </row>
    <row r="119" ht="18.75" customHeight="1">
      <c r="A119" s="21">
        <f t="shared" si="4"/>
        <v>45321</v>
      </c>
      <c r="B119" s="22">
        <f t="shared" si="5"/>
        <v>136</v>
      </c>
      <c r="C119" s="22">
        <f t="shared" si="6"/>
        <v>17</v>
      </c>
      <c r="D119" s="23">
        <f t="shared" si="7"/>
        <v>119</v>
      </c>
      <c r="E119" s="24">
        <f>'相関係数'!A119</f>
        <v>45321</v>
      </c>
      <c r="F119" s="25">
        <f>'相関係数'!B119</f>
        <v>136</v>
      </c>
      <c r="G119" s="25">
        <f>'相関係数'!C119</f>
        <v>17</v>
      </c>
      <c r="T119" s="29">
        <f>A377</f>
        <v>44938</v>
      </c>
      <c r="U119" s="20">
        <f>D377</f>
        <v>119</v>
      </c>
      <c r="V119" s="30">
        <f t="shared" ref="V119:W119" si="124">B377</f>
        <v>165</v>
      </c>
      <c r="W119" s="20">
        <f t="shared" si="124"/>
        <v>46</v>
      </c>
    </row>
    <row r="120" ht="18.75" customHeight="1">
      <c r="A120" s="21">
        <f t="shared" si="4"/>
        <v>45320</v>
      </c>
      <c r="B120" s="22">
        <f t="shared" si="5"/>
        <v>139</v>
      </c>
      <c r="C120" s="22">
        <f t="shared" si="6"/>
        <v>17</v>
      </c>
      <c r="D120" s="23">
        <f t="shared" si="7"/>
        <v>122</v>
      </c>
      <c r="E120" s="24">
        <f>'相関係数'!A120</f>
        <v>45320</v>
      </c>
      <c r="F120" s="25">
        <f>'相関係数'!B120</f>
        <v>139</v>
      </c>
      <c r="G120" s="25">
        <f>'相関係数'!C120</f>
        <v>17</v>
      </c>
      <c r="T120" s="29">
        <f>A376</f>
        <v>44939</v>
      </c>
      <c r="U120" s="20">
        <f>D376</f>
        <v>118</v>
      </c>
      <c r="V120" s="30">
        <f t="shared" ref="V120:W120" si="125">B376</f>
        <v>164</v>
      </c>
      <c r="W120" s="20">
        <f t="shared" si="125"/>
        <v>46</v>
      </c>
    </row>
    <row r="121" ht="18.75" customHeight="1">
      <c r="A121" s="21">
        <f t="shared" si="4"/>
        <v>45317</v>
      </c>
      <c r="B121" s="22">
        <f t="shared" si="5"/>
        <v>140</v>
      </c>
      <c r="C121" s="22">
        <f t="shared" si="6"/>
        <v>18</v>
      </c>
      <c r="D121" s="23">
        <f t="shared" si="7"/>
        <v>122</v>
      </c>
      <c r="E121" s="24">
        <f>'相関係数'!A121</f>
        <v>45317</v>
      </c>
      <c r="F121" s="25">
        <f>'相関係数'!B121</f>
        <v>140</v>
      </c>
      <c r="G121" s="25">
        <f>'相関係数'!C121</f>
        <v>18</v>
      </c>
      <c r="T121" s="29">
        <f>A375</f>
        <v>44942</v>
      </c>
      <c r="U121" s="20">
        <f>D375</f>
        <v>116</v>
      </c>
      <c r="V121" s="30">
        <f t="shared" ref="V121:W121" si="126">B375</f>
        <v>161</v>
      </c>
      <c r="W121" s="20">
        <f t="shared" si="126"/>
        <v>45</v>
      </c>
    </row>
    <row r="122" ht="18.75" customHeight="1">
      <c r="A122" s="21">
        <f t="shared" si="4"/>
        <v>45316</v>
      </c>
      <c r="B122" s="22">
        <f t="shared" si="5"/>
        <v>143</v>
      </c>
      <c r="C122" s="22">
        <f t="shared" si="6"/>
        <v>17</v>
      </c>
      <c r="D122" s="23">
        <f t="shared" si="7"/>
        <v>126</v>
      </c>
      <c r="E122" s="24">
        <f>'相関係数'!A122</f>
        <v>45316</v>
      </c>
      <c r="F122" s="25">
        <f>'相関係数'!B122</f>
        <v>143</v>
      </c>
      <c r="G122" s="25">
        <f>'相関係数'!C122</f>
        <v>17</v>
      </c>
      <c r="T122" s="29">
        <f>A374</f>
        <v>44943</v>
      </c>
      <c r="U122" s="20">
        <f>D374</f>
        <v>115</v>
      </c>
      <c r="V122" s="30">
        <f t="shared" ref="V122:W122" si="127">B374</f>
        <v>160</v>
      </c>
      <c r="W122" s="20">
        <f t="shared" si="127"/>
        <v>45</v>
      </c>
    </row>
    <row r="123" ht="18.75" customHeight="1">
      <c r="A123" s="21">
        <f t="shared" si="4"/>
        <v>45315</v>
      </c>
      <c r="B123" s="22">
        <f t="shared" si="5"/>
        <v>146</v>
      </c>
      <c r="C123" s="22">
        <f t="shared" si="6"/>
        <v>18</v>
      </c>
      <c r="D123" s="23">
        <f t="shared" si="7"/>
        <v>128</v>
      </c>
      <c r="E123" s="24">
        <f>'相関係数'!A123</f>
        <v>45315</v>
      </c>
      <c r="F123" s="25">
        <f>'相関係数'!B123</f>
        <v>146</v>
      </c>
      <c r="G123" s="25">
        <f>'相関係数'!C123</f>
        <v>18</v>
      </c>
      <c r="T123" s="29">
        <f>A373</f>
        <v>44944</v>
      </c>
      <c r="U123" s="20">
        <f>D373</f>
        <v>119</v>
      </c>
      <c r="V123" s="30">
        <f t="shared" ref="V123:W123" si="128">B373</f>
        <v>163</v>
      </c>
      <c r="W123" s="20">
        <f t="shared" si="128"/>
        <v>44</v>
      </c>
    </row>
    <row r="124" ht="18.75" customHeight="1">
      <c r="A124" s="21">
        <f t="shared" si="4"/>
        <v>45314</v>
      </c>
      <c r="B124" s="22">
        <f t="shared" si="5"/>
        <v>153</v>
      </c>
      <c r="C124" s="22">
        <f t="shared" si="6"/>
        <v>17</v>
      </c>
      <c r="D124" s="23">
        <f t="shared" si="7"/>
        <v>136</v>
      </c>
      <c r="E124" s="24">
        <f>'相関係数'!A124</f>
        <v>45314</v>
      </c>
      <c r="F124" s="25">
        <f>'相関係数'!B124</f>
        <v>153</v>
      </c>
      <c r="G124" s="25">
        <f>'相関係数'!C124</f>
        <v>17</v>
      </c>
      <c r="T124" s="29">
        <f>A372</f>
        <v>44945</v>
      </c>
      <c r="U124" s="20">
        <f>D372</f>
        <v>123</v>
      </c>
      <c r="V124" s="30">
        <f t="shared" ref="V124:W124" si="129">B372</f>
        <v>164</v>
      </c>
      <c r="W124" s="20">
        <f t="shared" si="129"/>
        <v>41</v>
      </c>
    </row>
    <row r="125" ht="18.75" customHeight="1">
      <c r="A125" s="21">
        <f t="shared" si="4"/>
        <v>45313</v>
      </c>
      <c r="B125" s="22">
        <f t="shared" si="5"/>
        <v>146</v>
      </c>
      <c r="C125" s="22">
        <f t="shared" si="6"/>
        <v>17</v>
      </c>
      <c r="D125" s="23">
        <f t="shared" si="7"/>
        <v>129</v>
      </c>
      <c r="E125" s="24">
        <f>'相関係数'!A125</f>
        <v>45313</v>
      </c>
      <c r="F125" s="25">
        <f>'相関係数'!B125</f>
        <v>146</v>
      </c>
      <c r="G125" s="25">
        <f>'相関係数'!C125</f>
        <v>17</v>
      </c>
      <c r="T125" s="29">
        <f>A371</f>
        <v>44946</v>
      </c>
      <c r="U125" s="20">
        <f>D371</f>
        <v>126</v>
      </c>
      <c r="V125" s="30">
        <f t="shared" ref="V125:W125" si="130">B371</f>
        <v>165</v>
      </c>
      <c r="W125" s="20">
        <f t="shared" si="130"/>
        <v>39</v>
      </c>
    </row>
    <row r="126" ht="18.75" customHeight="1">
      <c r="A126" s="21">
        <f t="shared" si="4"/>
        <v>45310</v>
      </c>
      <c r="B126" s="22">
        <f t="shared" si="5"/>
        <v>140</v>
      </c>
      <c r="C126" s="22">
        <f t="shared" si="6"/>
        <v>17</v>
      </c>
      <c r="D126" s="23">
        <f t="shared" si="7"/>
        <v>123</v>
      </c>
      <c r="E126" s="24">
        <f>'相関係数'!A126</f>
        <v>45310</v>
      </c>
      <c r="F126" s="25">
        <f>'相関係数'!B126</f>
        <v>140</v>
      </c>
      <c r="G126" s="25">
        <f>'相関係数'!C126</f>
        <v>17</v>
      </c>
      <c r="T126" s="29">
        <f>A370</f>
        <v>44949</v>
      </c>
      <c r="U126" s="20">
        <f>D370</f>
        <v>128</v>
      </c>
      <c r="V126" s="30">
        <f t="shared" ref="V126:W126" si="131">B370</f>
        <v>167</v>
      </c>
      <c r="W126" s="20">
        <f t="shared" si="131"/>
        <v>39</v>
      </c>
    </row>
    <row r="127" ht="18.75" customHeight="1">
      <c r="A127" s="21">
        <f t="shared" si="4"/>
        <v>45309</v>
      </c>
      <c r="B127" s="22">
        <f t="shared" si="5"/>
        <v>134</v>
      </c>
      <c r="C127" s="22">
        <f t="shared" si="6"/>
        <v>17</v>
      </c>
      <c r="D127" s="23">
        <f t="shared" si="7"/>
        <v>117</v>
      </c>
      <c r="E127" s="24">
        <f>'相関係数'!A127</f>
        <v>45309</v>
      </c>
      <c r="F127" s="25">
        <f>'相関係数'!B127</f>
        <v>134</v>
      </c>
      <c r="G127" s="25">
        <f>'相関係数'!C127</f>
        <v>17</v>
      </c>
      <c r="T127" s="29">
        <f>A369</f>
        <v>44950</v>
      </c>
      <c r="U127" s="20">
        <f>D369</f>
        <v>128</v>
      </c>
      <c r="V127" s="30">
        <f t="shared" ref="V127:W127" si="132">B369</f>
        <v>164</v>
      </c>
      <c r="W127" s="20">
        <f t="shared" si="132"/>
        <v>36</v>
      </c>
    </row>
    <row r="128" ht="18.75" customHeight="1">
      <c r="A128" s="21">
        <f t="shared" si="4"/>
        <v>45308</v>
      </c>
      <c r="B128" s="22">
        <f t="shared" si="5"/>
        <v>132</v>
      </c>
      <c r="C128" s="22">
        <f t="shared" si="6"/>
        <v>17</v>
      </c>
      <c r="D128" s="23">
        <f t="shared" si="7"/>
        <v>115</v>
      </c>
      <c r="E128" s="24">
        <f>'相関係数'!A128</f>
        <v>45308</v>
      </c>
      <c r="F128" s="25">
        <f>'相関係数'!B128</f>
        <v>132</v>
      </c>
      <c r="G128" s="25">
        <f>'相関係数'!C128</f>
        <v>17</v>
      </c>
      <c r="T128" s="29">
        <f>A368</f>
        <v>44951</v>
      </c>
      <c r="U128" s="20">
        <f>D368</f>
        <v>129</v>
      </c>
      <c r="V128" s="30">
        <f t="shared" ref="V128:W128" si="133">B368</f>
        <v>165</v>
      </c>
      <c r="W128" s="20">
        <f t="shared" si="133"/>
        <v>36</v>
      </c>
    </row>
    <row r="129" ht="18.75" customHeight="1">
      <c r="A129" s="21">
        <f t="shared" si="4"/>
        <v>45307</v>
      </c>
      <c r="B129" s="22">
        <f t="shared" si="5"/>
        <v>130</v>
      </c>
      <c r="C129" s="22">
        <f t="shared" si="6"/>
        <v>18</v>
      </c>
      <c r="D129" s="23">
        <f t="shared" si="7"/>
        <v>112</v>
      </c>
      <c r="E129" s="24">
        <f>'相関係数'!A129</f>
        <v>45307</v>
      </c>
      <c r="F129" s="25">
        <f>'相関係数'!B129</f>
        <v>130</v>
      </c>
      <c r="G129" s="25">
        <f>'相関係数'!C129</f>
        <v>18</v>
      </c>
      <c r="T129" s="29">
        <f>A367</f>
        <v>44952</v>
      </c>
      <c r="U129" s="20">
        <f>D367</f>
        <v>135</v>
      </c>
      <c r="V129" s="30">
        <f t="shared" ref="V129:W129" si="134">B367</f>
        <v>169</v>
      </c>
      <c r="W129" s="20">
        <f t="shared" si="134"/>
        <v>34</v>
      </c>
    </row>
    <row r="130" ht="18.75" customHeight="1">
      <c r="A130" s="21">
        <f t="shared" si="4"/>
        <v>45306</v>
      </c>
      <c r="B130" s="22">
        <f t="shared" si="5"/>
        <v>132</v>
      </c>
      <c r="C130" s="22">
        <f t="shared" si="6"/>
        <v>17</v>
      </c>
      <c r="D130" s="23">
        <f t="shared" si="7"/>
        <v>115</v>
      </c>
      <c r="E130" s="24">
        <f>'相関係数'!A130</f>
        <v>45306</v>
      </c>
      <c r="F130" s="25">
        <f>'相関係数'!B130</f>
        <v>132</v>
      </c>
      <c r="G130" s="25">
        <f>'相関係数'!C130</f>
        <v>17</v>
      </c>
      <c r="T130" s="29">
        <f>A366</f>
        <v>44953</v>
      </c>
      <c r="U130" s="20">
        <f>D366</f>
        <v>133</v>
      </c>
      <c r="V130" s="30">
        <f t="shared" ref="V130:W130" si="135">B366</f>
        <v>167</v>
      </c>
      <c r="W130" s="20">
        <f t="shared" si="135"/>
        <v>34</v>
      </c>
    </row>
    <row r="131" ht="18.75" customHeight="1">
      <c r="A131" s="21">
        <f t="shared" si="4"/>
        <v>45303</v>
      </c>
      <c r="B131" s="22">
        <f t="shared" si="5"/>
        <v>129</v>
      </c>
      <c r="C131" s="22">
        <f t="shared" si="6"/>
        <v>19</v>
      </c>
      <c r="D131" s="23">
        <f t="shared" si="7"/>
        <v>110</v>
      </c>
      <c r="E131" s="24">
        <f>'相関係数'!A131</f>
        <v>45303</v>
      </c>
      <c r="F131" s="25">
        <f>'相関係数'!B131</f>
        <v>129</v>
      </c>
      <c r="G131" s="25">
        <f>'相関係数'!C131</f>
        <v>19</v>
      </c>
      <c r="T131" s="29">
        <f>A365</f>
        <v>44956</v>
      </c>
      <c r="U131" s="20">
        <f>D365</f>
        <v>128</v>
      </c>
      <c r="V131" s="30">
        <f t="shared" ref="V131:W131" si="136">B365</f>
        <v>164</v>
      </c>
      <c r="W131" s="20">
        <f t="shared" si="136"/>
        <v>36</v>
      </c>
    </row>
    <row r="132" ht="18.75" customHeight="1">
      <c r="A132" s="21">
        <f t="shared" si="4"/>
        <v>45302</v>
      </c>
      <c r="B132" s="22">
        <f t="shared" si="5"/>
        <v>130</v>
      </c>
      <c r="C132" s="22">
        <f t="shared" si="6"/>
        <v>17</v>
      </c>
      <c r="D132" s="23">
        <f t="shared" si="7"/>
        <v>113</v>
      </c>
      <c r="E132" s="24">
        <f>'相関係数'!A132</f>
        <v>45302</v>
      </c>
      <c r="F132" s="25">
        <f>'相関係数'!B132</f>
        <v>130</v>
      </c>
      <c r="G132" s="25">
        <f>'相関係数'!C132</f>
        <v>17</v>
      </c>
      <c r="T132" s="29">
        <f>A364</f>
        <v>44957</v>
      </c>
      <c r="U132" s="20">
        <f>D364</f>
        <v>128</v>
      </c>
      <c r="V132" s="30">
        <f t="shared" ref="V132:W132" si="137">B364</f>
        <v>165</v>
      </c>
      <c r="W132" s="20">
        <f t="shared" si="137"/>
        <v>37</v>
      </c>
    </row>
    <row r="133" ht="18.75" customHeight="1">
      <c r="A133" s="21">
        <f t="shared" si="4"/>
        <v>45301</v>
      </c>
      <c r="B133" s="22">
        <f t="shared" si="5"/>
        <v>130</v>
      </c>
      <c r="C133" s="22">
        <f t="shared" si="6"/>
        <v>17</v>
      </c>
      <c r="D133" s="23">
        <f t="shared" si="7"/>
        <v>113</v>
      </c>
      <c r="E133" s="24">
        <f>'相関係数'!A133</f>
        <v>45301</v>
      </c>
      <c r="F133" s="25">
        <f>'相関係数'!B133</f>
        <v>130</v>
      </c>
      <c r="G133" s="25">
        <f>'相関係数'!C133</f>
        <v>17</v>
      </c>
      <c r="T133" s="29">
        <f>A363</f>
        <v>44958</v>
      </c>
      <c r="U133" s="20">
        <f>D363</f>
        <v>129</v>
      </c>
      <c r="V133" s="30">
        <f t="shared" ref="V133:W133" si="138">B363</f>
        <v>166</v>
      </c>
      <c r="W133" s="20">
        <f t="shared" si="138"/>
        <v>37</v>
      </c>
    </row>
    <row r="134" ht="18.75" customHeight="1">
      <c r="A134" s="21">
        <f t="shared" si="4"/>
        <v>45300</v>
      </c>
      <c r="B134" s="22">
        <f t="shared" si="5"/>
        <v>131</v>
      </c>
      <c r="C134" s="22">
        <f t="shared" si="6"/>
        <v>17</v>
      </c>
      <c r="D134" s="23">
        <f t="shared" si="7"/>
        <v>114</v>
      </c>
      <c r="E134" s="24">
        <f>'相関係数'!A134</f>
        <v>45300</v>
      </c>
      <c r="F134" s="25">
        <f>'相関係数'!B134</f>
        <v>131</v>
      </c>
      <c r="G134" s="25">
        <f>'相関係数'!C134</f>
        <v>17</v>
      </c>
      <c r="T134" s="29">
        <f>A362</f>
        <v>44959</v>
      </c>
      <c r="U134" s="20">
        <f>D362</f>
        <v>124</v>
      </c>
      <c r="V134" s="30">
        <f t="shared" ref="V134:W134" si="139">B362</f>
        <v>162</v>
      </c>
      <c r="W134" s="20">
        <f t="shared" si="139"/>
        <v>38</v>
      </c>
    </row>
    <row r="135" ht="18.75" customHeight="1">
      <c r="A135" s="21">
        <f t="shared" si="4"/>
        <v>45296</v>
      </c>
      <c r="B135" s="22">
        <f t="shared" si="5"/>
        <v>127</v>
      </c>
      <c r="C135" s="22">
        <f t="shared" si="6"/>
        <v>17</v>
      </c>
      <c r="D135" s="23">
        <f t="shared" si="7"/>
        <v>110</v>
      </c>
      <c r="E135" s="24">
        <f>'相関係数'!A135</f>
        <v>45296</v>
      </c>
      <c r="F135" s="25">
        <f>'相関係数'!B135</f>
        <v>127</v>
      </c>
      <c r="G135" s="25">
        <f>'相関係数'!C135</f>
        <v>17</v>
      </c>
      <c r="T135" s="29">
        <f>A361</f>
        <v>44960</v>
      </c>
      <c r="U135" s="20">
        <f>D361</f>
        <v>132</v>
      </c>
      <c r="V135" s="30">
        <f t="shared" ref="V135:W135" si="140">B361</f>
        <v>169</v>
      </c>
      <c r="W135" s="20">
        <f t="shared" si="140"/>
        <v>37</v>
      </c>
    </row>
    <row r="136" ht="18.75" customHeight="1">
      <c r="A136" s="21">
        <f t="shared" si="4"/>
        <v>45295</v>
      </c>
      <c r="B136" s="22">
        <f t="shared" si="5"/>
        <v>130</v>
      </c>
      <c r="C136" s="22">
        <f t="shared" si="6"/>
        <v>16</v>
      </c>
      <c r="D136" s="23">
        <f t="shared" si="7"/>
        <v>114</v>
      </c>
      <c r="E136" s="24">
        <f>'相関係数'!A136</f>
        <v>45295</v>
      </c>
      <c r="F136" s="25">
        <f>'相関係数'!B136</f>
        <v>130</v>
      </c>
      <c r="G136" s="25">
        <f>'相関係数'!C136</f>
        <v>16</v>
      </c>
      <c r="T136" s="29">
        <f>A360</f>
        <v>44963</v>
      </c>
      <c r="U136" s="20">
        <f>D360</f>
        <v>131</v>
      </c>
      <c r="V136" s="30">
        <f t="shared" ref="V136:W136" si="141">B360</f>
        <v>167</v>
      </c>
      <c r="W136" s="20">
        <f t="shared" si="141"/>
        <v>36</v>
      </c>
    </row>
    <row r="137" ht="18.75" customHeight="1">
      <c r="A137" s="21">
        <f t="shared" si="4"/>
        <v>45289</v>
      </c>
      <c r="B137" s="22">
        <f t="shared" si="5"/>
        <v>130</v>
      </c>
      <c r="C137" s="22">
        <f t="shared" si="6"/>
        <v>17</v>
      </c>
      <c r="D137" s="23">
        <f t="shared" si="7"/>
        <v>113</v>
      </c>
      <c r="E137" s="24">
        <f>'相関係数'!A137</f>
        <v>45289</v>
      </c>
      <c r="F137" s="25">
        <f>'相関係数'!B137</f>
        <v>130</v>
      </c>
      <c r="G137" s="25">
        <f>'相関係数'!C137</f>
        <v>17</v>
      </c>
      <c r="T137" s="29">
        <f>A359</f>
        <v>44964</v>
      </c>
      <c r="U137" s="20">
        <f>D359</f>
        <v>132</v>
      </c>
      <c r="V137" s="30">
        <f t="shared" ref="V137:W137" si="142">B359</f>
        <v>167</v>
      </c>
      <c r="W137" s="20">
        <f t="shared" si="142"/>
        <v>35</v>
      </c>
    </row>
    <row r="138" ht="18.75" customHeight="1">
      <c r="A138" s="21">
        <f t="shared" si="4"/>
        <v>45288</v>
      </c>
      <c r="B138" s="22">
        <f t="shared" si="5"/>
        <v>128</v>
      </c>
      <c r="C138" s="22">
        <f t="shared" si="6"/>
        <v>16</v>
      </c>
      <c r="D138" s="23">
        <f t="shared" si="7"/>
        <v>112</v>
      </c>
      <c r="E138" s="24">
        <f>'相関係数'!A138</f>
        <v>45288</v>
      </c>
      <c r="F138" s="25">
        <f>'相関係数'!B138</f>
        <v>128</v>
      </c>
      <c r="G138" s="25">
        <f>'相関係数'!C138</f>
        <v>16</v>
      </c>
      <c r="T138" s="29">
        <f>A358</f>
        <v>44965</v>
      </c>
      <c r="U138" s="20">
        <f>D358</f>
        <v>135</v>
      </c>
      <c r="V138" s="30">
        <f t="shared" ref="V138:W138" si="143">B358</f>
        <v>169</v>
      </c>
      <c r="W138" s="20">
        <f t="shared" si="143"/>
        <v>34</v>
      </c>
    </row>
    <row r="139" ht="18.75" customHeight="1">
      <c r="A139" s="21">
        <f t="shared" si="4"/>
        <v>45287</v>
      </c>
      <c r="B139" s="22">
        <f t="shared" si="5"/>
        <v>126</v>
      </c>
      <c r="C139" s="22">
        <f t="shared" si="6"/>
        <v>15</v>
      </c>
      <c r="D139" s="23">
        <f t="shared" si="7"/>
        <v>111</v>
      </c>
      <c r="E139" s="24">
        <f>'相関係数'!A139</f>
        <v>45287</v>
      </c>
      <c r="F139" s="25">
        <f>'相関係数'!B139</f>
        <v>126</v>
      </c>
      <c r="G139" s="25">
        <f>'相関係数'!C139</f>
        <v>15</v>
      </c>
      <c r="T139" s="29">
        <f>A357</f>
        <v>44966</v>
      </c>
      <c r="U139" s="20">
        <f>D357</f>
        <v>140</v>
      </c>
      <c r="V139" s="30">
        <f t="shared" ref="V139:W139" si="144">B357</f>
        <v>174</v>
      </c>
      <c r="W139" s="20">
        <f t="shared" si="144"/>
        <v>34</v>
      </c>
    </row>
    <row r="140" ht="18.75" customHeight="1">
      <c r="A140" s="21">
        <f t="shared" si="4"/>
        <v>45286</v>
      </c>
      <c r="B140" s="22">
        <f t="shared" si="5"/>
        <v>121</v>
      </c>
      <c r="C140" s="22">
        <f t="shared" si="6"/>
        <v>15</v>
      </c>
      <c r="D140" s="23">
        <f t="shared" si="7"/>
        <v>106</v>
      </c>
      <c r="E140" s="24">
        <f>'相関係数'!A140</f>
        <v>45286</v>
      </c>
      <c r="F140" s="25">
        <f>'相関係数'!B140</f>
        <v>121</v>
      </c>
      <c r="G140" s="25">
        <f>'相関係数'!C140</f>
        <v>15</v>
      </c>
      <c r="T140" s="29">
        <f>A356</f>
        <v>44967</v>
      </c>
      <c r="U140" s="20">
        <f>D356</f>
        <v>137</v>
      </c>
      <c r="V140" s="30">
        <f t="shared" ref="V140:W140" si="145">B356</f>
        <v>169</v>
      </c>
      <c r="W140" s="20">
        <f t="shared" si="145"/>
        <v>32</v>
      </c>
    </row>
    <row r="141" ht="18.75" customHeight="1">
      <c r="A141" s="21">
        <f t="shared" si="4"/>
        <v>45285</v>
      </c>
      <c r="B141" s="22">
        <f t="shared" si="5"/>
        <v>124</v>
      </c>
      <c r="C141" s="22">
        <f t="shared" si="6"/>
        <v>14</v>
      </c>
      <c r="D141" s="23">
        <f t="shared" si="7"/>
        <v>110</v>
      </c>
      <c r="E141" s="24">
        <f>'相関係数'!A141</f>
        <v>45285</v>
      </c>
      <c r="F141" s="25">
        <f>'相関係数'!B141</f>
        <v>124</v>
      </c>
      <c r="G141" s="25">
        <f>'相関係数'!C141</f>
        <v>14</v>
      </c>
      <c r="T141" s="29">
        <f>A355</f>
        <v>44970</v>
      </c>
      <c r="U141" s="20">
        <f>D355</f>
        <v>119</v>
      </c>
      <c r="V141" s="30">
        <f t="shared" ref="V141:W141" si="146">B355</f>
        <v>151</v>
      </c>
      <c r="W141" s="20">
        <f t="shared" si="146"/>
        <v>32</v>
      </c>
    </row>
    <row r="142" ht="18.75" customHeight="1">
      <c r="A142" s="21">
        <f t="shared" si="4"/>
        <v>45282</v>
      </c>
      <c r="B142" s="22">
        <f t="shared" si="5"/>
        <v>122</v>
      </c>
      <c r="C142" s="22">
        <f t="shared" si="6"/>
        <v>15</v>
      </c>
      <c r="D142" s="23">
        <f t="shared" si="7"/>
        <v>107</v>
      </c>
      <c r="E142" s="24">
        <f>'相関係数'!A142</f>
        <v>45282</v>
      </c>
      <c r="F142" s="25">
        <f>'相関係数'!B142</f>
        <v>122</v>
      </c>
      <c r="G142" s="25">
        <f>'相関係数'!C142</f>
        <v>15</v>
      </c>
      <c r="T142" s="29">
        <f>A354</f>
        <v>44971</v>
      </c>
      <c r="U142" s="20">
        <f>D354</f>
        <v>121</v>
      </c>
      <c r="V142" s="30">
        <f t="shared" ref="V142:W142" si="147">B354</f>
        <v>151</v>
      </c>
      <c r="W142" s="20">
        <f t="shared" si="147"/>
        <v>30</v>
      </c>
    </row>
    <row r="143" ht="18.75" customHeight="1">
      <c r="A143" s="21">
        <f t="shared" si="4"/>
        <v>45281</v>
      </c>
      <c r="B143" s="22">
        <f t="shared" si="5"/>
        <v>126</v>
      </c>
      <c r="C143" s="22">
        <f t="shared" si="6"/>
        <v>15</v>
      </c>
      <c r="D143" s="23">
        <f t="shared" si="7"/>
        <v>111</v>
      </c>
      <c r="E143" s="24">
        <f>'相関係数'!A143</f>
        <v>45281</v>
      </c>
      <c r="F143" s="25">
        <f>'相関係数'!B143</f>
        <v>126</v>
      </c>
      <c r="G143" s="25">
        <f>'相関係数'!C143</f>
        <v>15</v>
      </c>
      <c r="T143" s="29">
        <f>A353</f>
        <v>44972</v>
      </c>
      <c r="U143" s="20">
        <f>D353</f>
        <v>113</v>
      </c>
      <c r="V143" s="30">
        <f t="shared" ref="V143:W143" si="148">B353</f>
        <v>144</v>
      </c>
      <c r="W143" s="20">
        <f t="shared" si="148"/>
        <v>31</v>
      </c>
    </row>
    <row r="144" ht="18.75" customHeight="1">
      <c r="A144" s="21">
        <f t="shared" si="4"/>
        <v>45280</v>
      </c>
      <c r="B144" s="22">
        <f t="shared" si="5"/>
        <v>128</v>
      </c>
      <c r="C144" s="22">
        <f t="shared" si="6"/>
        <v>16</v>
      </c>
      <c r="D144" s="23">
        <f t="shared" si="7"/>
        <v>112</v>
      </c>
      <c r="E144" s="24">
        <f>'相関係数'!A144</f>
        <v>45280</v>
      </c>
      <c r="F144" s="25">
        <f>'相関係数'!B144</f>
        <v>128</v>
      </c>
      <c r="G144" s="25">
        <f>'相関係数'!C144</f>
        <v>16</v>
      </c>
      <c r="T144" s="29">
        <f>A352</f>
        <v>44973</v>
      </c>
      <c r="U144" s="20">
        <f>D352</f>
        <v>113</v>
      </c>
      <c r="V144" s="30">
        <f t="shared" ref="V144:W144" si="149">B352</f>
        <v>147</v>
      </c>
      <c r="W144" s="20">
        <f t="shared" si="149"/>
        <v>34</v>
      </c>
    </row>
    <row r="145" ht="18.75" customHeight="1">
      <c r="A145" s="21">
        <f t="shared" si="4"/>
        <v>45279</v>
      </c>
      <c r="B145" s="22">
        <f t="shared" si="5"/>
        <v>129</v>
      </c>
      <c r="C145" s="22">
        <f t="shared" si="6"/>
        <v>14</v>
      </c>
      <c r="D145" s="23">
        <f t="shared" si="7"/>
        <v>115</v>
      </c>
      <c r="E145" s="24">
        <f>'相関係数'!A145</f>
        <v>45279</v>
      </c>
      <c r="F145" s="25">
        <f>'相関係数'!B145</f>
        <v>129</v>
      </c>
      <c r="G145" s="25">
        <f>'相関係数'!C145</f>
        <v>14</v>
      </c>
      <c r="T145" s="29">
        <f>A351</f>
        <v>44974</v>
      </c>
      <c r="U145" s="20">
        <f>D351</f>
        <v>113</v>
      </c>
      <c r="V145" s="30">
        <f t="shared" ref="V145:W145" si="150">B351</f>
        <v>147</v>
      </c>
      <c r="W145" s="20">
        <f t="shared" si="150"/>
        <v>34</v>
      </c>
    </row>
    <row r="146" ht="18.75" customHeight="1">
      <c r="A146" s="21">
        <f t="shared" si="4"/>
        <v>45278</v>
      </c>
      <c r="B146" s="22">
        <f t="shared" si="5"/>
        <v>129</v>
      </c>
      <c r="C146" s="22">
        <f t="shared" si="6"/>
        <v>14</v>
      </c>
      <c r="D146" s="23">
        <f t="shared" si="7"/>
        <v>115</v>
      </c>
      <c r="E146" s="24">
        <f>'相関係数'!A146</f>
        <v>45278</v>
      </c>
      <c r="F146" s="25">
        <f>'相関係数'!B146</f>
        <v>129</v>
      </c>
      <c r="G146" s="25">
        <f>'相関係数'!C146</f>
        <v>14</v>
      </c>
      <c r="T146" s="29">
        <f>A350</f>
        <v>44977</v>
      </c>
      <c r="U146" s="20">
        <f>D350</f>
        <v>113</v>
      </c>
      <c r="V146" s="30">
        <f t="shared" ref="V146:W146" si="151">B350</f>
        <v>147</v>
      </c>
      <c r="W146" s="20">
        <f t="shared" si="151"/>
        <v>34</v>
      </c>
    </row>
    <row r="147" ht="18.75" customHeight="1">
      <c r="A147" s="21">
        <f t="shared" si="4"/>
        <v>45275</v>
      </c>
      <c r="B147" s="22">
        <f t="shared" si="5"/>
        <v>129</v>
      </c>
      <c r="C147" s="22">
        <f t="shared" si="6"/>
        <v>15</v>
      </c>
      <c r="D147" s="23">
        <f t="shared" si="7"/>
        <v>114</v>
      </c>
      <c r="E147" s="24">
        <f>'相関係数'!A147</f>
        <v>45275</v>
      </c>
      <c r="F147" s="25">
        <f>'相関係数'!B147</f>
        <v>129</v>
      </c>
      <c r="G147" s="25">
        <f>'相関係数'!C147</f>
        <v>15</v>
      </c>
      <c r="T147" s="29">
        <f>A349</f>
        <v>44978</v>
      </c>
      <c r="U147" s="20">
        <f>D349</f>
        <v>112</v>
      </c>
      <c r="V147" s="30">
        <f t="shared" ref="V147:W147" si="152">B349</f>
        <v>147</v>
      </c>
      <c r="W147" s="20">
        <f t="shared" si="152"/>
        <v>35</v>
      </c>
    </row>
    <row r="148" ht="18.75" customHeight="1">
      <c r="A148" s="21">
        <f t="shared" si="4"/>
        <v>45274</v>
      </c>
      <c r="B148" s="22">
        <f t="shared" si="5"/>
        <v>126</v>
      </c>
      <c r="C148" s="22">
        <f t="shared" si="6"/>
        <v>14</v>
      </c>
      <c r="D148" s="23">
        <f t="shared" si="7"/>
        <v>112</v>
      </c>
      <c r="E148" s="24">
        <f>'相関係数'!A148</f>
        <v>45274</v>
      </c>
      <c r="F148" s="25">
        <f>'相関係数'!B148</f>
        <v>126</v>
      </c>
      <c r="G148" s="25">
        <f>'相関係数'!C148</f>
        <v>14</v>
      </c>
      <c r="T148" s="29">
        <f>A348</f>
        <v>44979</v>
      </c>
      <c r="U148" s="20">
        <f>D348</f>
        <v>114</v>
      </c>
      <c r="V148" s="30">
        <f t="shared" ref="V148:W148" si="153">B348</f>
        <v>149</v>
      </c>
      <c r="W148" s="20">
        <f t="shared" si="153"/>
        <v>35</v>
      </c>
    </row>
    <row r="149" ht="18.75" customHeight="1">
      <c r="A149" s="21">
        <f t="shared" si="4"/>
        <v>45273</v>
      </c>
      <c r="B149" s="22">
        <f t="shared" si="5"/>
        <v>134</v>
      </c>
      <c r="C149" s="22">
        <f t="shared" si="6"/>
        <v>15</v>
      </c>
      <c r="D149" s="23">
        <f t="shared" si="7"/>
        <v>119</v>
      </c>
      <c r="E149" s="24">
        <f>'相関係数'!A149</f>
        <v>45273</v>
      </c>
      <c r="F149" s="25">
        <f>'相関係数'!B149</f>
        <v>134</v>
      </c>
      <c r="G149" s="25">
        <f>'相関係数'!C149</f>
        <v>15</v>
      </c>
      <c r="T149" s="29">
        <f>A347</f>
        <v>44981</v>
      </c>
      <c r="U149" s="20">
        <f>D347</f>
        <v>113</v>
      </c>
      <c r="V149" s="30">
        <f t="shared" ref="V149:W149" si="154">B347</f>
        <v>147</v>
      </c>
      <c r="W149" s="20">
        <f t="shared" si="154"/>
        <v>34</v>
      </c>
    </row>
    <row r="150" ht="18.75" customHeight="1">
      <c r="A150" s="21">
        <f t="shared" si="4"/>
        <v>45272</v>
      </c>
      <c r="B150" s="22">
        <f t="shared" si="5"/>
        <v>131</v>
      </c>
      <c r="C150" s="22">
        <f t="shared" si="6"/>
        <v>15</v>
      </c>
      <c r="D150" s="23">
        <f t="shared" si="7"/>
        <v>116</v>
      </c>
      <c r="E150" s="24">
        <f>'相関係数'!A150</f>
        <v>45272</v>
      </c>
      <c r="F150" s="25">
        <f>'相関係数'!B150</f>
        <v>131</v>
      </c>
      <c r="G150" s="25">
        <f>'相関係数'!C150</f>
        <v>15</v>
      </c>
      <c r="T150" s="29">
        <f>A346</f>
        <v>44984</v>
      </c>
      <c r="U150" s="20">
        <f>D346</f>
        <v>116</v>
      </c>
      <c r="V150" s="30">
        <f t="shared" ref="V150:W150" si="155">B346</f>
        <v>149</v>
      </c>
      <c r="W150" s="20">
        <f t="shared" si="155"/>
        <v>33</v>
      </c>
    </row>
    <row r="151" ht="18.75" customHeight="1">
      <c r="A151" s="21">
        <f t="shared" si="4"/>
        <v>45271</v>
      </c>
      <c r="B151" s="22">
        <f t="shared" si="5"/>
        <v>138</v>
      </c>
      <c r="C151" s="22">
        <f t="shared" si="6"/>
        <v>15</v>
      </c>
      <c r="D151" s="23">
        <f t="shared" si="7"/>
        <v>123</v>
      </c>
      <c r="E151" s="24">
        <f>'相関係数'!A151</f>
        <v>45271</v>
      </c>
      <c r="F151" s="25">
        <f>'相関係数'!B151</f>
        <v>138</v>
      </c>
      <c r="G151" s="25">
        <f>'相関係数'!C151</f>
        <v>15</v>
      </c>
      <c r="T151" s="29">
        <f>A345</f>
        <v>44985</v>
      </c>
      <c r="U151" s="20">
        <f>D345</f>
        <v>118</v>
      </c>
      <c r="V151" s="30">
        <f t="shared" ref="V151:W151" si="156">B345</f>
        <v>151</v>
      </c>
      <c r="W151" s="20">
        <f t="shared" si="156"/>
        <v>33</v>
      </c>
    </row>
    <row r="152" ht="18.75" customHeight="1">
      <c r="A152" s="21">
        <f t="shared" si="4"/>
        <v>45268</v>
      </c>
      <c r="B152" s="22">
        <f t="shared" si="5"/>
        <v>137</v>
      </c>
      <c r="C152" s="22">
        <f t="shared" si="6"/>
        <v>16</v>
      </c>
      <c r="D152" s="23">
        <f t="shared" si="7"/>
        <v>121</v>
      </c>
      <c r="E152" s="24">
        <f>'相関係数'!A152</f>
        <v>45268</v>
      </c>
      <c r="F152" s="25">
        <f>'相関係数'!B152</f>
        <v>137</v>
      </c>
      <c r="G152" s="25">
        <f>'相関係数'!C152</f>
        <v>16</v>
      </c>
      <c r="T152" s="29">
        <f>A344</f>
        <v>44986</v>
      </c>
      <c r="U152" s="20">
        <f>D344</f>
        <v>116</v>
      </c>
      <c r="V152" s="30">
        <f t="shared" ref="V152:W152" si="157">B344</f>
        <v>150</v>
      </c>
      <c r="W152" s="20">
        <f t="shared" si="157"/>
        <v>34</v>
      </c>
    </row>
    <row r="153" ht="18.75" customHeight="1">
      <c r="A153" s="21">
        <f t="shared" si="4"/>
        <v>45267</v>
      </c>
      <c r="B153" s="22">
        <f t="shared" si="5"/>
        <v>135</v>
      </c>
      <c r="C153" s="22">
        <f t="shared" si="6"/>
        <v>15</v>
      </c>
      <c r="D153" s="23">
        <f t="shared" si="7"/>
        <v>120</v>
      </c>
      <c r="E153" s="24">
        <f>'相関係数'!A153</f>
        <v>45267</v>
      </c>
      <c r="F153" s="25">
        <f>'相関係数'!B153</f>
        <v>135</v>
      </c>
      <c r="G153" s="25">
        <f>'相関係数'!C153</f>
        <v>15</v>
      </c>
      <c r="T153" s="29">
        <f>A343</f>
        <v>44987</v>
      </c>
      <c r="U153" s="20">
        <f>D343</f>
        <v>115</v>
      </c>
      <c r="V153" s="30">
        <f t="shared" ref="V153:W153" si="158">B343</f>
        <v>148</v>
      </c>
      <c r="W153" s="20">
        <f t="shared" si="158"/>
        <v>33</v>
      </c>
    </row>
    <row r="154" ht="18.75" customHeight="1">
      <c r="A154" s="21">
        <f t="shared" si="4"/>
        <v>45266</v>
      </c>
      <c r="B154" s="22">
        <f t="shared" si="5"/>
        <v>139</v>
      </c>
      <c r="C154" s="22">
        <f t="shared" si="6"/>
        <v>15</v>
      </c>
      <c r="D154" s="23">
        <f t="shared" si="7"/>
        <v>124</v>
      </c>
      <c r="E154" s="24">
        <f>'相関係数'!A154</f>
        <v>45266</v>
      </c>
      <c r="F154" s="25">
        <f>'相関係数'!B154</f>
        <v>139</v>
      </c>
      <c r="G154" s="25">
        <f>'相関係数'!C154</f>
        <v>15</v>
      </c>
      <c r="T154" s="29">
        <f>A342</f>
        <v>44988</v>
      </c>
      <c r="U154" s="20">
        <f>D342</f>
        <v>116</v>
      </c>
      <c r="V154" s="30">
        <f t="shared" ref="V154:W154" si="159">B342</f>
        <v>149</v>
      </c>
      <c r="W154" s="20">
        <f t="shared" si="159"/>
        <v>33</v>
      </c>
    </row>
    <row r="155" ht="18.75" customHeight="1">
      <c r="A155" s="21">
        <f t="shared" si="4"/>
        <v>45265</v>
      </c>
      <c r="B155" s="22">
        <f t="shared" si="5"/>
        <v>136</v>
      </c>
      <c r="C155" s="22">
        <f t="shared" si="6"/>
        <v>16</v>
      </c>
      <c r="D155" s="23">
        <f t="shared" si="7"/>
        <v>120</v>
      </c>
      <c r="E155" s="24">
        <f>'相関係数'!A155</f>
        <v>45265</v>
      </c>
      <c r="F155" s="25">
        <f>'相関係数'!B155</f>
        <v>136</v>
      </c>
      <c r="G155" s="25">
        <f>'相関係数'!C155</f>
        <v>16</v>
      </c>
      <c r="T155" s="29">
        <f>A341</f>
        <v>44991</v>
      </c>
      <c r="U155" s="20">
        <f>D341</f>
        <v>115</v>
      </c>
      <c r="V155" s="30">
        <f t="shared" ref="V155:W155" si="160">B341</f>
        <v>149</v>
      </c>
      <c r="W155" s="20">
        <f t="shared" si="160"/>
        <v>34</v>
      </c>
    </row>
    <row r="156" ht="18.75" customHeight="1">
      <c r="A156" s="21">
        <f t="shared" si="4"/>
        <v>45264</v>
      </c>
      <c r="B156" s="22">
        <f t="shared" si="5"/>
        <v>139</v>
      </c>
      <c r="C156" s="22">
        <f t="shared" si="6"/>
        <v>16</v>
      </c>
      <c r="D156" s="23">
        <f t="shared" si="7"/>
        <v>123</v>
      </c>
      <c r="E156" s="24">
        <f>'相関係数'!A156</f>
        <v>45264</v>
      </c>
      <c r="F156" s="25">
        <f>'相関係数'!B156</f>
        <v>139</v>
      </c>
      <c r="G156" s="25">
        <f>'相関係数'!C156</f>
        <v>16</v>
      </c>
      <c r="T156" s="29">
        <f>A340</f>
        <v>44992</v>
      </c>
      <c r="U156" s="20">
        <f>D340</f>
        <v>117</v>
      </c>
      <c r="V156" s="30">
        <f t="shared" ref="V156:W156" si="161">B340</f>
        <v>150</v>
      </c>
      <c r="W156" s="20">
        <f t="shared" si="161"/>
        <v>33</v>
      </c>
    </row>
    <row r="157" ht="18.75" customHeight="1">
      <c r="A157" s="21">
        <f t="shared" si="4"/>
        <v>45261</v>
      </c>
      <c r="B157" s="22">
        <f t="shared" si="5"/>
        <v>131</v>
      </c>
      <c r="C157" s="22">
        <f t="shared" si="6"/>
        <v>17</v>
      </c>
      <c r="D157" s="23">
        <f t="shared" si="7"/>
        <v>114</v>
      </c>
      <c r="E157" s="24">
        <f>'相関係数'!A157</f>
        <v>45261</v>
      </c>
      <c r="F157" s="25">
        <f>'相関係数'!B157</f>
        <v>131</v>
      </c>
      <c r="G157" s="25">
        <f>'相関係数'!C157</f>
        <v>17</v>
      </c>
      <c r="T157" s="29">
        <f>A339</f>
        <v>44993</v>
      </c>
      <c r="U157" s="20">
        <f>D339</f>
        <v>117</v>
      </c>
      <c r="V157" s="30">
        <f t="shared" ref="V157:W157" si="162">B339</f>
        <v>150</v>
      </c>
      <c r="W157" s="20">
        <f t="shared" si="162"/>
        <v>33</v>
      </c>
    </row>
    <row r="158" ht="18.75" customHeight="1">
      <c r="A158" s="21">
        <f t="shared" si="4"/>
        <v>45260</v>
      </c>
      <c r="B158" s="22">
        <f t="shared" si="5"/>
        <v>136</v>
      </c>
      <c r="C158" s="22">
        <f t="shared" si="6"/>
        <v>16</v>
      </c>
      <c r="D158" s="23">
        <f t="shared" si="7"/>
        <v>120</v>
      </c>
      <c r="E158" s="24">
        <f>'相関係数'!A158</f>
        <v>45260</v>
      </c>
      <c r="F158" s="25">
        <f>'相関係数'!B158</f>
        <v>136</v>
      </c>
      <c r="G158" s="25">
        <f>'相関係数'!C158</f>
        <v>16</v>
      </c>
      <c r="T158" s="29">
        <f>A338</f>
        <v>44994</v>
      </c>
      <c r="U158" s="20">
        <f>D338</f>
        <v>117</v>
      </c>
      <c r="V158" s="30">
        <f t="shared" ref="V158:W158" si="163">B338</f>
        <v>151</v>
      </c>
      <c r="W158" s="20">
        <f t="shared" si="163"/>
        <v>34</v>
      </c>
    </row>
    <row r="159" ht="18.75" customHeight="1">
      <c r="A159" s="21">
        <f t="shared" si="4"/>
        <v>45259</v>
      </c>
      <c r="B159" s="22">
        <f t="shared" si="5"/>
        <v>168</v>
      </c>
      <c r="C159" s="22">
        <f t="shared" si="6"/>
        <v>16</v>
      </c>
      <c r="D159" s="23">
        <f t="shared" si="7"/>
        <v>152</v>
      </c>
      <c r="E159" s="24">
        <f>'相関係数'!A159</f>
        <v>45259</v>
      </c>
      <c r="F159" s="25">
        <f>'相関係数'!B159</f>
        <v>168</v>
      </c>
      <c r="G159" s="25">
        <f>'相関係数'!C159</f>
        <v>16</v>
      </c>
      <c r="T159" s="29">
        <f>A337</f>
        <v>44995</v>
      </c>
      <c r="U159" s="20">
        <f>D337</f>
        <v>114</v>
      </c>
      <c r="V159" s="30">
        <f t="shared" ref="V159:W159" si="164">B337</f>
        <v>147</v>
      </c>
      <c r="W159" s="20">
        <f t="shared" si="164"/>
        <v>33</v>
      </c>
    </row>
    <row r="160" ht="18.75" customHeight="1">
      <c r="A160" s="21">
        <f t="shared" si="4"/>
        <v>45258</v>
      </c>
      <c r="B160" s="22">
        <f t="shared" si="5"/>
        <v>127</v>
      </c>
      <c r="C160" s="22">
        <f t="shared" si="6"/>
        <v>16</v>
      </c>
      <c r="D160" s="23">
        <f t="shared" si="7"/>
        <v>111</v>
      </c>
      <c r="E160" s="24">
        <f>'相関係数'!A160</f>
        <v>45258</v>
      </c>
      <c r="F160" s="25">
        <f>'相関係数'!B160</f>
        <v>127</v>
      </c>
      <c r="G160" s="25">
        <f>'相関係数'!C160</f>
        <v>16</v>
      </c>
      <c r="T160" s="29">
        <f>A336</f>
        <v>44998</v>
      </c>
      <c r="U160" s="20">
        <f>D336</f>
        <v>116</v>
      </c>
      <c r="V160" s="30">
        <f t="shared" ref="V160:W160" si="165">B336</f>
        <v>148</v>
      </c>
      <c r="W160" s="20">
        <f t="shared" si="165"/>
        <v>32</v>
      </c>
    </row>
    <row r="161" ht="18.75" customHeight="1">
      <c r="A161" s="21">
        <f t="shared" si="4"/>
        <v>45257</v>
      </c>
      <c r="B161" s="22">
        <f t="shared" si="5"/>
        <v>121</v>
      </c>
      <c r="C161" s="22">
        <f t="shared" si="6"/>
        <v>17</v>
      </c>
      <c r="D161" s="23">
        <f t="shared" si="7"/>
        <v>104</v>
      </c>
      <c r="E161" s="24">
        <f>'相関係数'!A161</f>
        <v>45257</v>
      </c>
      <c r="F161" s="25">
        <f>'相関係数'!B161</f>
        <v>121</v>
      </c>
      <c r="G161" s="25">
        <f>'相関係数'!C161</f>
        <v>17</v>
      </c>
      <c r="T161" s="29">
        <f>A335</f>
        <v>44999</v>
      </c>
      <c r="U161" s="20">
        <f>D335</f>
        <v>113</v>
      </c>
      <c r="V161" s="30">
        <f t="shared" ref="V161:W161" si="166">B335</f>
        <v>144</v>
      </c>
      <c r="W161" s="20">
        <f t="shared" si="166"/>
        <v>31</v>
      </c>
    </row>
    <row r="162" ht="18.75" customHeight="1">
      <c r="A162" s="21">
        <f t="shared" si="4"/>
        <v>45254</v>
      </c>
      <c r="B162" s="22">
        <f t="shared" si="5"/>
        <v>120</v>
      </c>
      <c r="C162" s="22">
        <f t="shared" si="6"/>
        <v>17</v>
      </c>
      <c r="D162" s="23">
        <f t="shared" si="7"/>
        <v>103</v>
      </c>
      <c r="E162" s="24">
        <f>'相関係数'!A162</f>
        <v>45254</v>
      </c>
      <c r="F162" s="25">
        <f>'相関係数'!B162</f>
        <v>120</v>
      </c>
      <c r="G162" s="25">
        <f>'相関係数'!C162</f>
        <v>17</v>
      </c>
      <c r="T162" s="29">
        <f>A334</f>
        <v>45000</v>
      </c>
      <c r="U162" s="20">
        <f>D334</f>
        <v>112</v>
      </c>
      <c r="V162" s="30">
        <f t="shared" ref="V162:W162" si="167">B334</f>
        <v>143</v>
      </c>
      <c r="W162" s="20">
        <f t="shared" si="167"/>
        <v>31</v>
      </c>
    </row>
    <row r="163" ht="18.75" customHeight="1">
      <c r="A163" s="21">
        <f t="shared" si="4"/>
        <v>45252</v>
      </c>
      <c r="B163" s="22">
        <f t="shared" si="5"/>
        <v>121</v>
      </c>
      <c r="C163" s="22">
        <f t="shared" si="6"/>
        <v>16</v>
      </c>
      <c r="D163" s="23">
        <f t="shared" si="7"/>
        <v>105</v>
      </c>
      <c r="E163" s="24">
        <f>'相関係数'!A163</f>
        <v>45252</v>
      </c>
      <c r="F163" s="25">
        <f>'相関係数'!B163</f>
        <v>121</v>
      </c>
      <c r="G163" s="25">
        <f>'相関係数'!C163</f>
        <v>16</v>
      </c>
      <c r="T163" s="29">
        <f>A333</f>
        <v>45001</v>
      </c>
      <c r="U163" s="20">
        <f>D333</f>
        <v>109</v>
      </c>
      <c r="V163" s="30">
        <f t="shared" ref="V163:W163" si="168">B333</f>
        <v>141</v>
      </c>
      <c r="W163" s="20">
        <f t="shared" si="168"/>
        <v>32</v>
      </c>
    </row>
    <row r="164" ht="18.75" customHeight="1">
      <c r="A164" s="21">
        <f t="shared" si="4"/>
        <v>45251</v>
      </c>
      <c r="B164" s="22">
        <f t="shared" si="5"/>
        <v>120</v>
      </c>
      <c r="C164" s="22">
        <f t="shared" si="6"/>
        <v>17</v>
      </c>
      <c r="D164" s="23">
        <f t="shared" si="7"/>
        <v>103</v>
      </c>
      <c r="E164" s="24">
        <f>'相関係数'!A164</f>
        <v>45251</v>
      </c>
      <c r="F164" s="25">
        <f>'相関係数'!B164</f>
        <v>120</v>
      </c>
      <c r="G164" s="25">
        <f>'相関係数'!C164</f>
        <v>17</v>
      </c>
      <c r="T164" s="29">
        <f>A332</f>
        <v>45002</v>
      </c>
      <c r="U164" s="20">
        <f>D332</f>
        <v>113</v>
      </c>
      <c r="V164" s="30">
        <f t="shared" ref="V164:W164" si="169">B332</f>
        <v>144</v>
      </c>
      <c r="W164" s="20">
        <f t="shared" si="169"/>
        <v>31</v>
      </c>
    </row>
    <row r="165" ht="18.75" customHeight="1">
      <c r="A165" s="21">
        <f t="shared" si="4"/>
        <v>45250</v>
      </c>
      <c r="B165" s="22">
        <f t="shared" si="5"/>
        <v>122</v>
      </c>
      <c r="C165" s="22">
        <f t="shared" si="6"/>
        <v>18</v>
      </c>
      <c r="D165" s="23">
        <f t="shared" si="7"/>
        <v>104</v>
      </c>
      <c r="E165" s="24">
        <f>'相関係数'!A165</f>
        <v>45250</v>
      </c>
      <c r="F165" s="25">
        <f>'相関係数'!B165</f>
        <v>122</v>
      </c>
      <c r="G165" s="25">
        <f>'相関係数'!C165</f>
        <v>18</v>
      </c>
      <c r="T165" s="29">
        <f>A331</f>
        <v>45005</v>
      </c>
      <c r="U165" s="20">
        <f>D331</f>
        <v>111</v>
      </c>
      <c r="V165" s="30">
        <f t="shared" ref="V165:W165" si="170">B331</f>
        <v>142</v>
      </c>
      <c r="W165" s="20">
        <f t="shared" si="170"/>
        <v>31</v>
      </c>
    </row>
    <row r="166" ht="18.75" customHeight="1">
      <c r="A166" s="21">
        <f t="shared" si="4"/>
        <v>45247</v>
      </c>
      <c r="B166" s="22">
        <f t="shared" si="5"/>
        <v>116</v>
      </c>
      <c r="C166" s="22">
        <f t="shared" si="6"/>
        <v>18</v>
      </c>
      <c r="D166" s="23">
        <f t="shared" si="7"/>
        <v>98</v>
      </c>
      <c r="E166" s="24">
        <f>'相関係数'!A166</f>
        <v>45247</v>
      </c>
      <c r="F166" s="25">
        <f>'相関係数'!B166</f>
        <v>116</v>
      </c>
      <c r="G166" s="25">
        <f>'相関係数'!C166</f>
        <v>18</v>
      </c>
      <c r="T166" s="29">
        <f>A330</f>
        <v>45007</v>
      </c>
      <c r="U166" s="20">
        <f>D330</f>
        <v>110</v>
      </c>
      <c r="V166" s="30">
        <f t="shared" ref="V166:W166" si="171">B330</f>
        <v>143</v>
      </c>
      <c r="W166" s="20">
        <f t="shared" si="171"/>
        <v>33</v>
      </c>
    </row>
    <row r="167" ht="18.75" customHeight="1">
      <c r="A167" s="21">
        <f t="shared" si="4"/>
        <v>45246</v>
      </c>
      <c r="B167" s="22">
        <f t="shared" si="5"/>
        <v>117</v>
      </c>
      <c r="C167" s="22">
        <f t="shared" si="6"/>
        <v>17</v>
      </c>
      <c r="D167" s="23">
        <f t="shared" si="7"/>
        <v>100</v>
      </c>
      <c r="E167" s="24">
        <f>'相関係数'!A167</f>
        <v>45246</v>
      </c>
      <c r="F167" s="25">
        <f>'相関係数'!B167</f>
        <v>117</v>
      </c>
      <c r="G167" s="25">
        <f>'相関係数'!C167</f>
        <v>17</v>
      </c>
      <c r="T167" s="29">
        <f>A329</f>
        <v>45008</v>
      </c>
      <c r="U167" s="20">
        <f>D329</f>
        <v>109</v>
      </c>
      <c r="V167" s="30">
        <f t="shared" ref="V167:W167" si="172">B329</f>
        <v>142</v>
      </c>
      <c r="W167" s="20">
        <f t="shared" si="172"/>
        <v>33</v>
      </c>
    </row>
    <row r="168" ht="18.75" customHeight="1">
      <c r="A168" s="21">
        <f t="shared" si="4"/>
        <v>45245</v>
      </c>
      <c r="B168" s="22">
        <f t="shared" si="5"/>
        <v>121</v>
      </c>
      <c r="C168" s="22">
        <f t="shared" si="6"/>
        <v>18</v>
      </c>
      <c r="D168" s="23">
        <f t="shared" si="7"/>
        <v>103</v>
      </c>
      <c r="E168" s="24">
        <f>'相関係数'!A168</f>
        <v>45245</v>
      </c>
      <c r="F168" s="25">
        <f>'相関係数'!B168</f>
        <v>121</v>
      </c>
      <c r="G168" s="25">
        <f>'相関係数'!C168</f>
        <v>18</v>
      </c>
      <c r="T168" s="29">
        <f>A328</f>
        <v>45009</v>
      </c>
      <c r="U168" s="20">
        <f>D328</f>
        <v>110</v>
      </c>
      <c r="V168" s="30">
        <f t="shared" ref="V168:W168" si="173">B328</f>
        <v>142</v>
      </c>
      <c r="W168" s="20">
        <f t="shared" si="173"/>
        <v>32</v>
      </c>
    </row>
    <row r="169" ht="18.75" customHeight="1">
      <c r="A169" s="21">
        <f t="shared" si="4"/>
        <v>45244</v>
      </c>
      <c r="B169" s="22">
        <f t="shared" si="5"/>
        <v>120</v>
      </c>
      <c r="C169" s="22">
        <f t="shared" si="6"/>
        <v>19</v>
      </c>
      <c r="D169" s="23">
        <f t="shared" si="7"/>
        <v>101</v>
      </c>
      <c r="E169" s="24">
        <f>'相関係数'!A169</f>
        <v>45244</v>
      </c>
      <c r="F169" s="25">
        <f>'相関係数'!B169</f>
        <v>120</v>
      </c>
      <c r="G169" s="25">
        <f>'相関係数'!C169</f>
        <v>19</v>
      </c>
      <c r="T169" s="29">
        <f>A327</f>
        <v>45012</v>
      </c>
      <c r="U169" s="20">
        <f>D327</f>
        <v>110</v>
      </c>
      <c r="V169" s="30">
        <f t="shared" ref="V169:W169" si="174">B327</f>
        <v>142</v>
      </c>
      <c r="W169" s="20">
        <f t="shared" si="174"/>
        <v>32</v>
      </c>
    </row>
    <row r="170" ht="18.75" customHeight="1">
      <c r="A170" s="21">
        <f t="shared" si="4"/>
        <v>45243</v>
      </c>
      <c r="B170" s="22">
        <f t="shared" si="5"/>
        <v>123</v>
      </c>
      <c r="C170" s="22">
        <f t="shared" si="6"/>
        <v>19</v>
      </c>
      <c r="D170" s="23">
        <f t="shared" si="7"/>
        <v>104</v>
      </c>
      <c r="E170" s="24">
        <f>'相関係数'!A170</f>
        <v>45243</v>
      </c>
      <c r="F170" s="25">
        <f>'相関係数'!B170</f>
        <v>123</v>
      </c>
      <c r="G170" s="25">
        <f>'相関係数'!C170</f>
        <v>19</v>
      </c>
      <c r="T170" s="29">
        <f>A326</f>
        <v>45013</v>
      </c>
      <c r="U170" s="20">
        <f>D326</f>
        <v>114</v>
      </c>
      <c r="V170" s="30">
        <f t="shared" ref="V170:W170" si="175">B326</f>
        <v>145</v>
      </c>
      <c r="W170" s="20">
        <f t="shared" si="175"/>
        <v>31</v>
      </c>
    </row>
    <row r="171" ht="18.75" customHeight="1">
      <c r="A171" s="21">
        <f t="shared" si="4"/>
        <v>45240</v>
      </c>
      <c r="B171" s="22">
        <f t="shared" si="5"/>
        <v>125</v>
      </c>
      <c r="C171" s="22">
        <f t="shared" si="6"/>
        <v>19</v>
      </c>
      <c r="D171" s="23">
        <f t="shared" si="7"/>
        <v>106</v>
      </c>
      <c r="E171" s="24">
        <f>'相関係数'!A171</f>
        <v>45240</v>
      </c>
      <c r="F171" s="25">
        <f>'相関係数'!B171</f>
        <v>125</v>
      </c>
      <c r="G171" s="25">
        <f>'相関係数'!C171</f>
        <v>19</v>
      </c>
      <c r="T171" s="29">
        <f>A325</f>
        <v>45014</v>
      </c>
      <c r="U171" s="20">
        <f>D325</f>
        <v>114</v>
      </c>
      <c r="V171" s="30">
        <f t="shared" ref="V171:W171" si="176">B325</f>
        <v>145</v>
      </c>
      <c r="W171" s="20">
        <f t="shared" si="176"/>
        <v>31</v>
      </c>
    </row>
    <row r="172" ht="18.75" customHeight="1">
      <c r="A172" s="21">
        <f t="shared" si="4"/>
        <v>45239</v>
      </c>
      <c r="B172" s="22">
        <f t="shared" si="5"/>
        <v>127</v>
      </c>
      <c r="C172" s="22">
        <f t="shared" si="6"/>
        <v>19</v>
      </c>
      <c r="D172" s="23">
        <f t="shared" si="7"/>
        <v>108</v>
      </c>
      <c r="E172" s="24">
        <f>'相関係数'!A172</f>
        <v>45239</v>
      </c>
      <c r="F172" s="25">
        <f>'相関係数'!B172</f>
        <v>127</v>
      </c>
      <c r="G172" s="25">
        <f>'相関係数'!C172</f>
        <v>19</v>
      </c>
      <c r="T172" s="29">
        <f>A324</f>
        <v>45015</v>
      </c>
      <c r="U172" s="20">
        <f>D324</f>
        <v>117</v>
      </c>
      <c r="V172" s="30">
        <f t="shared" ref="V172:W172" si="177">B324</f>
        <v>148</v>
      </c>
      <c r="W172" s="20">
        <f t="shared" si="177"/>
        <v>31</v>
      </c>
    </row>
    <row r="173" ht="18.75" customHeight="1">
      <c r="A173" s="21">
        <f t="shared" si="4"/>
        <v>45238</v>
      </c>
      <c r="B173" s="22">
        <f t="shared" si="5"/>
        <v>127</v>
      </c>
      <c r="C173" s="22">
        <f t="shared" si="6"/>
        <v>18</v>
      </c>
      <c r="D173" s="23">
        <f t="shared" si="7"/>
        <v>109</v>
      </c>
      <c r="E173" s="24">
        <f>'相関係数'!A173</f>
        <v>45238</v>
      </c>
      <c r="F173" s="25">
        <f>'相関係数'!B173</f>
        <v>127</v>
      </c>
      <c r="G173" s="25">
        <f>'相関係数'!C173</f>
        <v>18</v>
      </c>
      <c r="T173" s="29">
        <f>A323</f>
        <v>45016</v>
      </c>
      <c r="U173" s="20">
        <f>D323</f>
        <v>116</v>
      </c>
      <c r="V173" s="30">
        <f t="shared" ref="V173:W173" si="178">B323</f>
        <v>147</v>
      </c>
      <c r="W173" s="20">
        <f t="shared" si="178"/>
        <v>31</v>
      </c>
    </row>
    <row r="174" ht="18.75" customHeight="1">
      <c r="A174" s="21">
        <f t="shared" si="4"/>
        <v>45237</v>
      </c>
      <c r="B174" s="22">
        <f t="shared" si="5"/>
        <v>128</v>
      </c>
      <c r="C174" s="22">
        <f t="shared" si="6"/>
        <v>18</v>
      </c>
      <c r="D174" s="23">
        <f t="shared" si="7"/>
        <v>110</v>
      </c>
      <c r="E174" s="24">
        <f>'相関係数'!A174</f>
        <v>45237</v>
      </c>
      <c r="F174" s="25">
        <f>'相関係数'!B174</f>
        <v>128</v>
      </c>
      <c r="G174" s="25">
        <f>'相関係数'!C174</f>
        <v>18</v>
      </c>
      <c r="T174" s="29">
        <f>A322</f>
        <v>45019</v>
      </c>
      <c r="U174" s="20">
        <f>D322</f>
        <v>116</v>
      </c>
      <c r="V174" s="30">
        <f t="shared" ref="V174:W174" si="179">B322</f>
        <v>147</v>
      </c>
      <c r="W174" s="20">
        <f t="shared" si="179"/>
        <v>31</v>
      </c>
    </row>
    <row r="175" ht="18.75" customHeight="1">
      <c r="A175" s="21">
        <f t="shared" si="4"/>
        <v>45236</v>
      </c>
      <c r="B175" s="22">
        <f t="shared" si="5"/>
        <v>130</v>
      </c>
      <c r="C175" s="22">
        <f t="shared" si="6"/>
        <v>19</v>
      </c>
      <c r="D175" s="23">
        <f t="shared" si="7"/>
        <v>111</v>
      </c>
      <c r="E175" s="24">
        <f>'相関係数'!A175</f>
        <v>45236</v>
      </c>
      <c r="F175" s="25">
        <f>'相関係数'!B175</f>
        <v>130</v>
      </c>
      <c r="G175" s="25">
        <f>'相関係数'!C175</f>
        <v>19</v>
      </c>
      <c r="T175" s="29">
        <f>A321</f>
        <v>45020</v>
      </c>
      <c r="U175" s="20">
        <f>D321</f>
        <v>114</v>
      </c>
      <c r="V175" s="30">
        <f t="shared" ref="V175:W175" si="180">B321</f>
        <v>145</v>
      </c>
      <c r="W175" s="20">
        <f t="shared" si="180"/>
        <v>31</v>
      </c>
    </row>
    <row r="176" ht="18.75" customHeight="1">
      <c r="A176" s="21">
        <f t="shared" si="4"/>
        <v>45232</v>
      </c>
      <c r="B176" s="22">
        <f t="shared" si="5"/>
        <v>131</v>
      </c>
      <c r="C176" s="22">
        <f t="shared" si="6"/>
        <v>19</v>
      </c>
      <c r="D176" s="23">
        <f t="shared" si="7"/>
        <v>112</v>
      </c>
      <c r="E176" s="24">
        <f>'相関係数'!A176</f>
        <v>45232</v>
      </c>
      <c r="F176" s="25">
        <f>'相関係数'!B176</f>
        <v>131</v>
      </c>
      <c r="G176" s="25">
        <f>'相関係数'!C176</f>
        <v>19</v>
      </c>
      <c r="T176" s="29">
        <f>A320</f>
        <v>45021</v>
      </c>
      <c r="U176" s="20">
        <f>D320</f>
        <v>112</v>
      </c>
      <c r="V176" s="30">
        <f t="shared" ref="V176:W176" si="181">B320</f>
        <v>144</v>
      </c>
      <c r="W176" s="20">
        <f t="shared" si="181"/>
        <v>32</v>
      </c>
    </row>
    <row r="177" ht="18.75" customHeight="1">
      <c r="A177" s="21">
        <f t="shared" si="4"/>
        <v>45231</v>
      </c>
      <c r="B177" s="22">
        <f t="shared" si="5"/>
        <v>129</v>
      </c>
      <c r="C177" s="22">
        <f t="shared" si="6"/>
        <v>18</v>
      </c>
      <c r="D177" s="23">
        <f t="shared" si="7"/>
        <v>111</v>
      </c>
      <c r="E177" s="24">
        <f>'相関係数'!A177</f>
        <v>45231</v>
      </c>
      <c r="F177" s="25">
        <f>'相関係数'!B177</f>
        <v>129</v>
      </c>
      <c r="G177" s="25">
        <f>'相関係数'!C177</f>
        <v>18</v>
      </c>
      <c r="T177" s="29">
        <f>A319</f>
        <v>45022</v>
      </c>
      <c r="U177" s="20">
        <f>D319</f>
        <v>112</v>
      </c>
      <c r="V177" s="30">
        <f t="shared" ref="V177:W177" si="182">B319</f>
        <v>143</v>
      </c>
      <c r="W177" s="20">
        <f t="shared" si="182"/>
        <v>31</v>
      </c>
    </row>
    <row r="178" ht="18.75" customHeight="1">
      <c r="A178" s="21">
        <f t="shared" si="4"/>
        <v>45230</v>
      </c>
      <c r="B178" s="22">
        <f t="shared" si="5"/>
        <v>129</v>
      </c>
      <c r="C178" s="22">
        <f t="shared" si="6"/>
        <v>18</v>
      </c>
      <c r="D178" s="23">
        <f t="shared" si="7"/>
        <v>111</v>
      </c>
      <c r="E178" s="24">
        <f>'相関係数'!A178</f>
        <v>45230</v>
      </c>
      <c r="F178" s="25">
        <f>'相関係数'!B178</f>
        <v>129</v>
      </c>
      <c r="G178" s="25">
        <f>'相関係数'!C178</f>
        <v>18</v>
      </c>
      <c r="T178" s="29">
        <f>A318</f>
        <v>45023</v>
      </c>
      <c r="U178" s="20">
        <f>D318</f>
        <v>112</v>
      </c>
      <c r="V178" s="30">
        <f t="shared" ref="V178:W178" si="183">B318</f>
        <v>143</v>
      </c>
      <c r="W178" s="20">
        <f t="shared" si="183"/>
        <v>31</v>
      </c>
    </row>
    <row r="179" ht="18.75" customHeight="1">
      <c r="A179" s="21">
        <f t="shared" si="4"/>
        <v>45229</v>
      </c>
      <c r="B179" s="22">
        <f t="shared" si="5"/>
        <v>126</v>
      </c>
      <c r="C179" s="22">
        <f t="shared" si="6"/>
        <v>19</v>
      </c>
      <c r="D179" s="23">
        <f t="shared" si="7"/>
        <v>107</v>
      </c>
      <c r="E179" s="24">
        <f>'相関係数'!A179</f>
        <v>45229</v>
      </c>
      <c r="F179" s="25">
        <f>'相関係数'!B179</f>
        <v>126</v>
      </c>
      <c r="G179" s="25">
        <f>'相関係数'!C179</f>
        <v>19</v>
      </c>
      <c r="T179" s="29">
        <f>A317</f>
        <v>45026</v>
      </c>
      <c r="U179" s="20">
        <f>D317</f>
        <v>113</v>
      </c>
      <c r="V179" s="30">
        <f t="shared" ref="V179:W179" si="184">B317</f>
        <v>145</v>
      </c>
      <c r="W179" s="20">
        <f t="shared" si="184"/>
        <v>32</v>
      </c>
    </row>
    <row r="180" ht="18.75" customHeight="1">
      <c r="A180" s="21">
        <f t="shared" si="4"/>
        <v>45226</v>
      </c>
      <c r="B180" s="22">
        <f t="shared" si="5"/>
        <v>129</v>
      </c>
      <c r="C180" s="22">
        <f t="shared" si="6"/>
        <v>18</v>
      </c>
      <c r="D180" s="23">
        <f t="shared" si="7"/>
        <v>111</v>
      </c>
      <c r="E180" s="24">
        <f>'相関係数'!A180</f>
        <v>45226</v>
      </c>
      <c r="F180" s="25">
        <f>'相関係数'!B180</f>
        <v>129</v>
      </c>
      <c r="G180" s="25">
        <f>'相関係数'!C180</f>
        <v>18</v>
      </c>
      <c r="T180" s="29">
        <f>A316</f>
        <v>45027</v>
      </c>
      <c r="U180" s="20">
        <f>D316</f>
        <v>115</v>
      </c>
      <c r="V180" s="30">
        <f t="shared" ref="V180:W180" si="185">B316</f>
        <v>146</v>
      </c>
      <c r="W180" s="20">
        <f t="shared" si="185"/>
        <v>31</v>
      </c>
    </row>
    <row r="181" ht="18.75" customHeight="1">
      <c r="A181" s="21">
        <f t="shared" si="4"/>
        <v>45225</v>
      </c>
      <c r="B181" s="22">
        <f t="shared" si="5"/>
        <v>129</v>
      </c>
      <c r="C181" s="22">
        <f t="shared" si="6"/>
        <v>19</v>
      </c>
      <c r="D181" s="23">
        <f t="shared" si="7"/>
        <v>110</v>
      </c>
      <c r="E181" s="24">
        <f>'相関係数'!A181</f>
        <v>45225</v>
      </c>
      <c r="F181" s="25">
        <f>'相関係数'!B181</f>
        <v>129</v>
      </c>
      <c r="G181" s="25">
        <f>'相関係数'!C181</f>
        <v>19</v>
      </c>
      <c r="T181" s="29">
        <f>A315</f>
        <v>45028</v>
      </c>
      <c r="U181" s="20">
        <f>D315</f>
        <v>118</v>
      </c>
      <c r="V181" s="30">
        <f t="shared" ref="V181:W181" si="186">B315</f>
        <v>149</v>
      </c>
      <c r="W181" s="20">
        <f t="shared" si="186"/>
        <v>31</v>
      </c>
    </row>
    <row r="182" ht="18.75" customHeight="1">
      <c r="A182" s="21">
        <f t="shared" si="4"/>
        <v>45224</v>
      </c>
      <c r="B182" s="22">
        <f t="shared" si="5"/>
        <v>130</v>
      </c>
      <c r="C182" s="22">
        <f t="shared" si="6"/>
        <v>19</v>
      </c>
      <c r="D182" s="23">
        <f t="shared" si="7"/>
        <v>111</v>
      </c>
      <c r="E182" s="24">
        <f>'相関係数'!A182</f>
        <v>45224</v>
      </c>
      <c r="F182" s="25">
        <f>'相関係数'!B182</f>
        <v>130</v>
      </c>
      <c r="G182" s="25">
        <f>'相関係数'!C182</f>
        <v>19</v>
      </c>
      <c r="T182" s="29">
        <f>A314</f>
        <v>45029</v>
      </c>
      <c r="U182" s="20">
        <f>D314</f>
        <v>117</v>
      </c>
      <c r="V182" s="30">
        <f t="shared" ref="V182:W182" si="187">B314</f>
        <v>149</v>
      </c>
      <c r="W182" s="20">
        <f t="shared" si="187"/>
        <v>32</v>
      </c>
    </row>
    <row r="183" ht="18.75" customHeight="1">
      <c r="A183" s="21">
        <f t="shared" si="4"/>
        <v>45223</v>
      </c>
      <c r="B183" s="22">
        <f t="shared" si="5"/>
        <v>130</v>
      </c>
      <c r="C183" s="22">
        <f t="shared" si="6"/>
        <v>18</v>
      </c>
      <c r="D183" s="23">
        <f t="shared" si="7"/>
        <v>112</v>
      </c>
      <c r="E183" s="24">
        <f>'相関係数'!A183</f>
        <v>45223</v>
      </c>
      <c r="F183" s="25">
        <f>'相関係数'!B183</f>
        <v>130</v>
      </c>
      <c r="G183" s="25">
        <f>'相関係数'!C183</f>
        <v>18</v>
      </c>
      <c r="T183" s="29">
        <f>A313</f>
        <v>45030</v>
      </c>
      <c r="U183" s="20">
        <f>D313</f>
        <v>117</v>
      </c>
      <c r="V183" s="30">
        <f t="shared" ref="V183:W183" si="188">B313</f>
        <v>148</v>
      </c>
      <c r="W183" s="20">
        <f t="shared" si="188"/>
        <v>31</v>
      </c>
    </row>
    <row r="184" ht="18.75" customHeight="1">
      <c r="A184" s="21">
        <f t="shared" si="4"/>
        <v>45222</v>
      </c>
      <c r="B184" s="22">
        <f t="shared" si="5"/>
        <v>129</v>
      </c>
      <c r="C184" s="22">
        <f t="shared" si="6"/>
        <v>19</v>
      </c>
      <c r="D184" s="23">
        <f t="shared" si="7"/>
        <v>110</v>
      </c>
      <c r="E184" s="24">
        <f>'相関係数'!A184</f>
        <v>45222</v>
      </c>
      <c r="F184" s="25">
        <f>'相関係数'!B184</f>
        <v>129</v>
      </c>
      <c r="G184" s="25">
        <f>'相関係数'!C184</f>
        <v>19</v>
      </c>
      <c r="T184" s="29">
        <f>A312</f>
        <v>45033</v>
      </c>
      <c r="U184" s="20">
        <f>D312</f>
        <v>113</v>
      </c>
      <c r="V184" s="30">
        <f t="shared" ref="V184:W184" si="189">B312</f>
        <v>144</v>
      </c>
      <c r="W184" s="20">
        <f t="shared" si="189"/>
        <v>31</v>
      </c>
    </row>
    <row r="185" ht="18.75" customHeight="1">
      <c r="A185" s="21">
        <f t="shared" si="4"/>
        <v>45219</v>
      </c>
      <c r="B185" s="22">
        <f t="shared" si="5"/>
        <v>133</v>
      </c>
      <c r="C185" s="22">
        <f t="shared" si="6"/>
        <v>19</v>
      </c>
      <c r="D185" s="23">
        <f t="shared" si="7"/>
        <v>114</v>
      </c>
      <c r="E185" s="24">
        <f>'相関係数'!A185</f>
        <v>45219</v>
      </c>
      <c r="F185" s="25">
        <f>'相関係数'!B185</f>
        <v>133</v>
      </c>
      <c r="G185" s="25">
        <f>'相関係数'!C185</f>
        <v>19</v>
      </c>
      <c r="T185" s="29">
        <f>A311</f>
        <v>45034</v>
      </c>
      <c r="U185" s="20">
        <f>D311</f>
        <v>115</v>
      </c>
      <c r="V185" s="30">
        <f t="shared" ref="V185:W185" si="190">B311</f>
        <v>146</v>
      </c>
      <c r="W185" s="20">
        <f t="shared" si="190"/>
        <v>31</v>
      </c>
    </row>
    <row r="186" ht="18.75" customHeight="1">
      <c r="A186" s="21">
        <f t="shared" si="4"/>
        <v>45218</v>
      </c>
      <c r="B186" s="22">
        <f t="shared" si="5"/>
        <v>134</v>
      </c>
      <c r="C186" s="22">
        <f t="shared" si="6"/>
        <v>19</v>
      </c>
      <c r="D186" s="23">
        <f t="shared" si="7"/>
        <v>115</v>
      </c>
      <c r="E186" s="24">
        <f>'相関係数'!A186</f>
        <v>45218</v>
      </c>
      <c r="F186" s="25">
        <f>'相関係数'!B186</f>
        <v>134</v>
      </c>
      <c r="G186" s="25">
        <f>'相関係数'!C186</f>
        <v>19</v>
      </c>
      <c r="T186" s="29">
        <f>A310</f>
        <v>45035</v>
      </c>
      <c r="U186" s="20">
        <f>D310</f>
        <v>117</v>
      </c>
      <c r="V186" s="30">
        <f t="shared" ref="V186:W186" si="191">B310</f>
        <v>148</v>
      </c>
      <c r="W186" s="20">
        <f t="shared" si="191"/>
        <v>31</v>
      </c>
    </row>
    <row r="187" ht="18.75" customHeight="1">
      <c r="A187" s="21">
        <f t="shared" si="4"/>
        <v>45217</v>
      </c>
      <c r="B187" s="22">
        <f t="shared" si="5"/>
        <v>133</v>
      </c>
      <c r="C187" s="22">
        <f t="shared" si="6"/>
        <v>19</v>
      </c>
      <c r="D187" s="23">
        <f t="shared" si="7"/>
        <v>114</v>
      </c>
      <c r="E187" s="24">
        <f>'相関係数'!A187</f>
        <v>45217</v>
      </c>
      <c r="F187" s="25">
        <f>'相関係数'!B187</f>
        <v>133</v>
      </c>
      <c r="G187" s="25">
        <f>'相関係数'!C187</f>
        <v>19</v>
      </c>
      <c r="T187" s="29">
        <f>A309</f>
        <v>45036</v>
      </c>
      <c r="U187" s="20">
        <f>D309</f>
        <v>114</v>
      </c>
      <c r="V187" s="30">
        <f t="shared" ref="V187:W187" si="192">B309</f>
        <v>146</v>
      </c>
      <c r="W187" s="20">
        <f t="shared" si="192"/>
        <v>32</v>
      </c>
    </row>
    <row r="188" ht="18.75" customHeight="1">
      <c r="A188" s="21">
        <f t="shared" si="4"/>
        <v>45216</v>
      </c>
      <c r="B188" s="22">
        <f t="shared" si="5"/>
        <v>132</v>
      </c>
      <c r="C188" s="22">
        <f t="shared" si="6"/>
        <v>20</v>
      </c>
      <c r="D188" s="23">
        <f t="shared" si="7"/>
        <v>112</v>
      </c>
      <c r="E188" s="24">
        <f>'相関係数'!A188</f>
        <v>45216</v>
      </c>
      <c r="F188" s="25">
        <f>'相関係数'!B188</f>
        <v>132</v>
      </c>
      <c r="G188" s="25">
        <f>'相関係数'!C188</f>
        <v>20</v>
      </c>
      <c r="T188" s="29">
        <f>A308</f>
        <v>45037</v>
      </c>
      <c r="U188" s="20">
        <f>D308</f>
        <v>114</v>
      </c>
      <c r="V188" s="30">
        <f t="shared" ref="V188:W188" si="193">B308</f>
        <v>145</v>
      </c>
      <c r="W188" s="20">
        <f t="shared" si="193"/>
        <v>31</v>
      </c>
    </row>
    <row r="189" ht="18.75" customHeight="1">
      <c r="A189" s="21">
        <f t="shared" si="4"/>
        <v>45215</v>
      </c>
      <c r="B189" s="22">
        <f t="shared" si="5"/>
        <v>132</v>
      </c>
      <c r="C189" s="22">
        <f t="shared" si="6"/>
        <v>19</v>
      </c>
      <c r="D189" s="23">
        <f t="shared" si="7"/>
        <v>113</v>
      </c>
      <c r="E189" s="24">
        <f>'相関係数'!A189</f>
        <v>45215</v>
      </c>
      <c r="F189" s="25">
        <f>'相関係数'!B189</f>
        <v>132</v>
      </c>
      <c r="G189" s="25">
        <f>'相関係数'!C189</f>
        <v>19</v>
      </c>
      <c r="T189" s="29">
        <f>A307</f>
        <v>45040</v>
      </c>
      <c r="U189" s="20">
        <f>D307</f>
        <v>112</v>
      </c>
      <c r="V189" s="30">
        <f t="shared" ref="V189:W189" si="194">B307</f>
        <v>144</v>
      </c>
      <c r="W189" s="20">
        <f t="shared" si="194"/>
        <v>32</v>
      </c>
    </row>
    <row r="190" ht="18.75" customHeight="1">
      <c r="A190" s="21">
        <f t="shared" si="4"/>
        <v>45212</v>
      </c>
      <c r="B190" s="22">
        <f t="shared" si="5"/>
        <v>134</v>
      </c>
      <c r="C190" s="22">
        <f t="shared" si="6"/>
        <v>19</v>
      </c>
      <c r="D190" s="23">
        <f t="shared" si="7"/>
        <v>115</v>
      </c>
      <c r="E190" s="24">
        <f>'相関係数'!A190</f>
        <v>45212</v>
      </c>
      <c r="F190" s="25">
        <f>'相関係数'!B190</f>
        <v>134</v>
      </c>
      <c r="G190" s="25">
        <f>'相関係数'!C190</f>
        <v>19</v>
      </c>
      <c r="T190" s="29">
        <f>A306</f>
        <v>45041</v>
      </c>
      <c r="U190" s="20">
        <f>D306</f>
        <v>111</v>
      </c>
      <c r="V190" s="30">
        <f t="shared" ref="V190:W190" si="195">B306</f>
        <v>142</v>
      </c>
      <c r="W190" s="20">
        <f t="shared" si="195"/>
        <v>31</v>
      </c>
    </row>
    <row r="191" ht="18.75" customHeight="1">
      <c r="A191" s="21">
        <f t="shared" si="4"/>
        <v>45211</v>
      </c>
      <c r="B191" s="22">
        <f t="shared" si="5"/>
        <v>135</v>
      </c>
      <c r="C191" s="22">
        <f t="shared" si="6"/>
        <v>19</v>
      </c>
      <c r="D191" s="23">
        <f t="shared" si="7"/>
        <v>116</v>
      </c>
      <c r="E191" s="24">
        <f>'相関係数'!A191</f>
        <v>45211</v>
      </c>
      <c r="F191" s="25">
        <f>'相関係数'!B191</f>
        <v>135</v>
      </c>
      <c r="G191" s="25">
        <f>'相関係数'!C191</f>
        <v>19</v>
      </c>
      <c r="T191" s="29">
        <f>A305</f>
        <v>45042</v>
      </c>
      <c r="U191" s="20">
        <f>D305</f>
        <v>110</v>
      </c>
      <c r="V191" s="30">
        <f t="shared" ref="V191:W191" si="196">B305</f>
        <v>141</v>
      </c>
      <c r="W191" s="20">
        <f t="shared" si="196"/>
        <v>31</v>
      </c>
    </row>
    <row r="192" ht="18.75" customHeight="1">
      <c r="A192" s="21">
        <f t="shared" si="4"/>
        <v>45210</v>
      </c>
      <c r="B192" s="22">
        <f t="shared" si="5"/>
        <v>138</v>
      </c>
      <c r="C192" s="22">
        <f t="shared" si="6"/>
        <v>19</v>
      </c>
      <c r="D192" s="23">
        <f t="shared" si="7"/>
        <v>119</v>
      </c>
      <c r="E192" s="24">
        <f>'相関係数'!A192</f>
        <v>45210</v>
      </c>
      <c r="F192" s="25">
        <f>'相関係数'!B192</f>
        <v>138</v>
      </c>
      <c r="G192" s="25">
        <f>'相関係数'!C192</f>
        <v>19</v>
      </c>
      <c r="T192" s="29">
        <f>A304</f>
        <v>45043</v>
      </c>
      <c r="U192" s="20">
        <f>D304</f>
        <v>110</v>
      </c>
      <c r="V192" s="30">
        <f t="shared" ref="V192:W192" si="197">B304</f>
        <v>141</v>
      </c>
      <c r="W192" s="20">
        <f t="shared" si="197"/>
        <v>31</v>
      </c>
    </row>
    <row r="193" ht="18.75" customHeight="1">
      <c r="A193" s="21">
        <f t="shared" si="4"/>
        <v>45209</v>
      </c>
      <c r="B193" s="22">
        <f t="shared" si="5"/>
        <v>138</v>
      </c>
      <c r="C193" s="22">
        <f t="shared" si="6"/>
        <v>19</v>
      </c>
      <c r="D193" s="23">
        <f t="shared" si="7"/>
        <v>119</v>
      </c>
      <c r="E193" s="24">
        <f>'相関係数'!A193</f>
        <v>45209</v>
      </c>
      <c r="F193" s="25">
        <f>'相関係数'!B193</f>
        <v>138</v>
      </c>
      <c r="G193" s="25">
        <f>'相関係数'!C193</f>
        <v>19</v>
      </c>
      <c r="T193" s="29">
        <f>A303</f>
        <v>45044</v>
      </c>
      <c r="U193" s="20">
        <f>D303</f>
        <v>113</v>
      </c>
      <c r="V193" s="30">
        <f t="shared" ref="V193:W193" si="198">B303</f>
        <v>142</v>
      </c>
      <c r="W193" s="20">
        <f t="shared" si="198"/>
        <v>29</v>
      </c>
    </row>
    <row r="194" ht="18.75" customHeight="1">
      <c r="A194" s="21">
        <f t="shared" si="4"/>
        <v>45205</v>
      </c>
      <c r="B194" s="22">
        <f t="shared" si="5"/>
        <v>136</v>
      </c>
      <c r="C194" s="22">
        <f t="shared" si="6"/>
        <v>19</v>
      </c>
      <c r="D194" s="23">
        <f t="shared" si="7"/>
        <v>117</v>
      </c>
      <c r="E194" s="24">
        <f>'相関係数'!A194</f>
        <v>45205</v>
      </c>
      <c r="F194" s="25">
        <f>'相関係数'!B194</f>
        <v>136</v>
      </c>
      <c r="G194" s="25">
        <f>'相関係数'!C194</f>
        <v>19</v>
      </c>
      <c r="T194" s="29">
        <f>A302</f>
        <v>45047</v>
      </c>
      <c r="U194" s="20">
        <f>D302</f>
        <v>116</v>
      </c>
      <c r="V194" s="30">
        <f t="shared" ref="V194:W194" si="199">B302</f>
        <v>145</v>
      </c>
      <c r="W194" s="20">
        <f t="shared" si="199"/>
        <v>29</v>
      </c>
    </row>
    <row r="195" ht="18.75" customHeight="1">
      <c r="A195" s="21">
        <f t="shared" si="4"/>
        <v>45204</v>
      </c>
      <c r="B195" s="22">
        <f t="shared" si="5"/>
        <v>135</v>
      </c>
      <c r="C195" s="22">
        <f t="shared" si="6"/>
        <v>20</v>
      </c>
      <c r="D195" s="23">
        <f t="shared" si="7"/>
        <v>115</v>
      </c>
      <c r="E195" s="24">
        <f>'相関係数'!A195</f>
        <v>45204</v>
      </c>
      <c r="F195" s="25">
        <f>'相関係数'!B195</f>
        <v>135</v>
      </c>
      <c r="G195" s="25">
        <f>'相関係数'!C195</f>
        <v>20</v>
      </c>
      <c r="T195" s="29">
        <f>A301</f>
        <v>45048</v>
      </c>
      <c r="U195" s="20">
        <f>D301</f>
        <v>116</v>
      </c>
      <c r="V195" s="30">
        <f t="shared" ref="V195:W195" si="200">B301</f>
        <v>146</v>
      </c>
      <c r="W195" s="20">
        <f t="shared" si="200"/>
        <v>30</v>
      </c>
    </row>
    <row r="196" ht="18.75" customHeight="1">
      <c r="A196" s="21">
        <f t="shared" si="4"/>
        <v>45203</v>
      </c>
      <c r="B196" s="22">
        <f t="shared" si="5"/>
        <v>133</v>
      </c>
      <c r="C196" s="22">
        <f t="shared" si="6"/>
        <v>19</v>
      </c>
      <c r="D196" s="23">
        <f t="shared" si="7"/>
        <v>114</v>
      </c>
      <c r="E196" s="24">
        <f>'相関係数'!A196</f>
        <v>45203</v>
      </c>
      <c r="F196" s="25">
        <f>'相関係数'!B196</f>
        <v>133</v>
      </c>
      <c r="G196" s="25">
        <f>'相関係数'!C196</f>
        <v>19</v>
      </c>
      <c r="T196" s="29">
        <f>A300</f>
        <v>45054</v>
      </c>
      <c r="U196" s="20">
        <f>D300</f>
        <v>114</v>
      </c>
      <c r="V196" s="30">
        <f t="shared" ref="V196:W196" si="201">B300</f>
        <v>143</v>
      </c>
      <c r="W196" s="20">
        <f t="shared" si="201"/>
        <v>29</v>
      </c>
    </row>
    <row r="197" ht="18.75" customHeight="1">
      <c r="A197" s="21">
        <f t="shared" si="4"/>
        <v>45202</v>
      </c>
      <c r="B197" s="22">
        <f t="shared" si="5"/>
        <v>136</v>
      </c>
      <c r="C197" s="22">
        <f t="shared" si="6"/>
        <v>19</v>
      </c>
      <c r="D197" s="23">
        <f t="shared" si="7"/>
        <v>117</v>
      </c>
      <c r="E197" s="24">
        <f>'相関係数'!A197</f>
        <v>45202</v>
      </c>
      <c r="F197" s="25">
        <f>'相関係数'!B197</f>
        <v>136</v>
      </c>
      <c r="G197" s="25">
        <f>'相関係数'!C197</f>
        <v>19</v>
      </c>
      <c r="T197" s="29">
        <f>A299</f>
        <v>45055</v>
      </c>
      <c r="U197" s="20">
        <f>D299</f>
        <v>112</v>
      </c>
      <c r="V197" s="30">
        <f t="shared" ref="V197:W197" si="202">B299</f>
        <v>141</v>
      </c>
      <c r="W197" s="20">
        <f t="shared" si="202"/>
        <v>29</v>
      </c>
    </row>
    <row r="198" ht="18.75" customHeight="1">
      <c r="A198" s="21">
        <f t="shared" si="4"/>
        <v>45201</v>
      </c>
      <c r="B198" s="22">
        <f t="shared" si="5"/>
        <v>138</v>
      </c>
      <c r="C198" s="22">
        <f t="shared" si="6"/>
        <v>19</v>
      </c>
      <c r="D198" s="23">
        <f t="shared" si="7"/>
        <v>119</v>
      </c>
      <c r="E198" s="24">
        <f>'相関係数'!A198</f>
        <v>45201</v>
      </c>
      <c r="F198" s="25">
        <f>'相関係数'!B198</f>
        <v>138</v>
      </c>
      <c r="G198" s="25">
        <f>'相関係数'!C198</f>
        <v>19</v>
      </c>
      <c r="T198" s="29">
        <f>A298</f>
        <v>45056</v>
      </c>
      <c r="U198" s="20">
        <f>D298</f>
        <v>111</v>
      </c>
      <c r="V198" s="30">
        <f t="shared" ref="V198:W198" si="203">B298</f>
        <v>139</v>
      </c>
      <c r="W198" s="20">
        <f t="shared" si="203"/>
        <v>28</v>
      </c>
    </row>
    <row r="199" ht="18.75" customHeight="1">
      <c r="A199" s="21">
        <f t="shared" si="4"/>
        <v>45198</v>
      </c>
      <c r="B199" s="22">
        <f t="shared" si="5"/>
        <v>142</v>
      </c>
      <c r="C199" s="22">
        <f t="shared" si="6"/>
        <v>19</v>
      </c>
      <c r="D199" s="23">
        <f t="shared" si="7"/>
        <v>123</v>
      </c>
      <c r="E199" s="24">
        <f>'相関係数'!A199</f>
        <v>45198</v>
      </c>
      <c r="F199" s="25">
        <f>'相関係数'!B199</f>
        <v>142</v>
      </c>
      <c r="G199" s="25">
        <f>'相関係数'!C199</f>
        <v>19</v>
      </c>
      <c r="T199" s="29">
        <f>A297</f>
        <v>45057</v>
      </c>
      <c r="U199" s="20">
        <f>D297</f>
        <v>111</v>
      </c>
      <c r="V199" s="30">
        <f t="shared" ref="V199:W199" si="204">B297</f>
        <v>139</v>
      </c>
      <c r="W199" s="20">
        <f t="shared" si="204"/>
        <v>28</v>
      </c>
    </row>
    <row r="200" ht="18.75" customHeight="1">
      <c r="A200" s="21">
        <f t="shared" si="4"/>
        <v>45197</v>
      </c>
      <c r="B200" s="22">
        <f t="shared" si="5"/>
        <v>142</v>
      </c>
      <c r="C200" s="22">
        <f t="shared" si="6"/>
        <v>19</v>
      </c>
      <c r="D200" s="23">
        <f t="shared" si="7"/>
        <v>123</v>
      </c>
      <c r="E200" s="24">
        <f>'相関係数'!A200</f>
        <v>45197</v>
      </c>
      <c r="F200" s="25">
        <f>'相関係数'!B200</f>
        <v>142</v>
      </c>
      <c r="G200" s="25">
        <f>'相関係数'!C200</f>
        <v>19</v>
      </c>
      <c r="T200" s="29">
        <f>A296</f>
        <v>45058</v>
      </c>
      <c r="U200" s="20">
        <f>D296</f>
        <v>112</v>
      </c>
      <c r="V200" s="30">
        <f t="shared" ref="V200:W200" si="205">B296</f>
        <v>138</v>
      </c>
      <c r="W200" s="20">
        <f t="shared" si="205"/>
        <v>26</v>
      </c>
    </row>
    <row r="201" ht="18.75" customHeight="1">
      <c r="A201" s="21">
        <f t="shared" si="4"/>
        <v>45196</v>
      </c>
      <c r="B201" s="22">
        <f t="shared" si="5"/>
        <v>142</v>
      </c>
      <c r="C201" s="22">
        <f t="shared" si="6"/>
        <v>19</v>
      </c>
      <c r="D201" s="23">
        <f t="shared" si="7"/>
        <v>123</v>
      </c>
      <c r="E201" s="24">
        <f>'相関係数'!A201</f>
        <v>45196</v>
      </c>
      <c r="F201" s="25">
        <f>'相関係数'!B201</f>
        <v>142</v>
      </c>
      <c r="G201" s="25">
        <f>'相関係数'!C201</f>
        <v>19</v>
      </c>
      <c r="T201" s="29">
        <f>A295</f>
        <v>45061</v>
      </c>
      <c r="U201" s="20">
        <f>D295</f>
        <v>110</v>
      </c>
      <c r="V201" s="30">
        <f t="shared" ref="V201:W201" si="206">B295</f>
        <v>136</v>
      </c>
      <c r="W201" s="20">
        <f t="shared" si="206"/>
        <v>26</v>
      </c>
    </row>
    <row r="202" ht="18.75" customHeight="1">
      <c r="A202" s="21">
        <f t="shared" si="4"/>
        <v>45195</v>
      </c>
      <c r="B202" s="22">
        <f t="shared" si="5"/>
        <v>142</v>
      </c>
      <c r="C202" s="22">
        <f t="shared" si="6"/>
        <v>20</v>
      </c>
      <c r="D202" s="23">
        <f t="shared" si="7"/>
        <v>122</v>
      </c>
      <c r="E202" s="24">
        <f>'相関係数'!A202</f>
        <v>45195</v>
      </c>
      <c r="F202" s="25">
        <f>'相関係数'!B202</f>
        <v>142</v>
      </c>
      <c r="G202" s="25">
        <f>'相関係数'!C202</f>
        <v>20</v>
      </c>
      <c r="T202" s="29">
        <f>A294</f>
        <v>45062</v>
      </c>
      <c r="U202" s="20">
        <f>D294</f>
        <v>110</v>
      </c>
      <c r="V202" s="30">
        <f t="shared" ref="V202:W202" si="207">B294</f>
        <v>134</v>
      </c>
      <c r="W202" s="20">
        <f t="shared" si="207"/>
        <v>24</v>
      </c>
    </row>
    <row r="203" ht="18.75" customHeight="1">
      <c r="A203" s="21">
        <f t="shared" si="4"/>
        <v>45194</v>
      </c>
      <c r="B203" s="22">
        <f t="shared" si="5"/>
        <v>145</v>
      </c>
      <c r="C203" s="22">
        <f t="shared" si="6"/>
        <v>20</v>
      </c>
      <c r="D203" s="23">
        <f t="shared" si="7"/>
        <v>125</v>
      </c>
      <c r="E203" s="24">
        <f>'相関係数'!A203</f>
        <v>45194</v>
      </c>
      <c r="F203" s="25">
        <f>'相関係数'!B203</f>
        <v>145</v>
      </c>
      <c r="G203" s="25">
        <f>'相関係数'!C203</f>
        <v>20</v>
      </c>
      <c r="T203" s="29">
        <f>A293</f>
        <v>45063</v>
      </c>
      <c r="U203" s="20">
        <f>D293</f>
        <v>109</v>
      </c>
      <c r="V203" s="30">
        <f t="shared" ref="V203:W203" si="208">B293</f>
        <v>135</v>
      </c>
      <c r="W203" s="20">
        <f t="shared" si="208"/>
        <v>26</v>
      </c>
    </row>
    <row r="204" ht="18.75" customHeight="1">
      <c r="A204" s="21">
        <f t="shared" si="4"/>
        <v>45191</v>
      </c>
      <c r="B204" s="22">
        <f t="shared" si="5"/>
        <v>142</v>
      </c>
      <c r="C204" s="22">
        <f t="shared" si="6"/>
        <v>20</v>
      </c>
      <c r="D204" s="23">
        <f t="shared" si="7"/>
        <v>122</v>
      </c>
      <c r="E204" s="24">
        <f>'相関係数'!A204</f>
        <v>45191</v>
      </c>
      <c r="F204" s="25">
        <f>'相関係数'!B204</f>
        <v>142</v>
      </c>
      <c r="G204" s="25">
        <f>'相関係数'!C204</f>
        <v>20</v>
      </c>
      <c r="T204" s="29">
        <f>A292</f>
        <v>45064</v>
      </c>
      <c r="U204" s="20">
        <f>D292</f>
        <v>107</v>
      </c>
      <c r="V204" s="30">
        <f t="shared" ref="V204:W204" si="209">B292</f>
        <v>132</v>
      </c>
      <c r="W204" s="20">
        <f t="shared" si="209"/>
        <v>25</v>
      </c>
    </row>
    <row r="205" ht="18.75" customHeight="1">
      <c r="A205" s="21">
        <f t="shared" si="4"/>
        <v>45190</v>
      </c>
      <c r="B205" s="22">
        <f t="shared" si="5"/>
        <v>141</v>
      </c>
      <c r="C205" s="22">
        <f t="shared" si="6"/>
        <v>20</v>
      </c>
      <c r="D205" s="23">
        <f t="shared" si="7"/>
        <v>121</v>
      </c>
      <c r="E205" s="24">
        <f>'相関係数'!A205</f>
        <v>45190</v>
      </c>
      <c r="F205" s="25">
        <f>'相関係数'!B205</f>
        <v>141</v>
      </c>
      <c r="G205" s="25">
        <f>'相関係数'!C205</f>
        <v>20</v>
      </c>
      <c r="T205" s="29">
        <f>A291</f>
        <v>45065</v>
      </c>
      <c r="U205" s="20">
        <f>D291</f>
        <v>105</v>
      </c>
      <c r="V205" s="30">
        <f t="shared" ref="V205:W205" si="210">B291</f>
        <v>131</v>
      </c>
      <c r="W205" s="20">
        <f t="shared" si="210"/>
        <v>26</v>
      </c>
    </row>
    <row r="206" ht="18.75" customHeight="1">
      <c r="A206" s="21">
        <f t="shared" si="4"/>
        <v>45189</v>
      </c>
      <c r="B206" s="22">
        <f t="shared" si="5"/>
        <v>146</v>
      </c>
      <c r="C206" s="22">
        <f t="shared" si="6"/>
        <v>21</v>
      </c>
      <c r="D206" s="23">
        <f t="shared" si="7"/>
        <v>125</v>
      </c>
      <c r="E206" s="24">
        <f>'相関係数'!A206</f>
        <v>45189</v>
      </c>
      <c r="F206" s="25">
        <f>'相関係数'!B206</f>
        <v>146</v>
      </c>
      <c r="G206" s="25">
        <f>'相関係数'!C206</f>
        <v>21</v>
      </c>
      <c r="T206" s="29">
        <f>A290</f>
        <v>45068</v>
      </c>
      <c r="U206" s="20">
        <f>D290</f>
        <v>109</v>
      </c>
      <c r="V206" s="30">
        <f t="shared" ref="V206:W206" si="211">B290</f>
        <v>133</v>
      </c>
      <c r="W206" s="20">
        <f t="shared" si="211"/>
        <v>24</v>
      </c>
    </row>
    <row r="207" ht="18.75" customHeight="1">
      <c r="A207" s="21">
        <f t="shared" si="4"/>
        <v>45188</v>
      </c>
      <c r="B207" s="22">
        <f t="shared" si="5"/>
        <v>144</v>
      </c>
      <c r="C207" s="22">
        <f t="shared" si="6"/>
        <v>21</v>
      </c>
      <c r="D207" s="23">
        <f t="shared" si="7"/>
        <v>123</v>
      </c>
      <c r="E207" s="24">
        <f>'相関係数'!A207</f>
        <v>45188</v>
      </c>
      <c r="F207" s="25">
        <f>'相関係数'!B207</f>
        <v>144</v>
      </c>
      <c r="G207" s="25">
        <f>'相関係数'!C207</f>
        <v>21</v>
      </c>
      <c r="T207" s="29">
        <f>A289</f>
        <v>45069</v>
      </c>
      <c r="U207" s="20">
        <f>D289</f>
        <v>105</v>
      </c>
      <c r="V207" s="30">
        <f t="shared" ref="V207:W207" si="212">B289</f>
        <v>131</v>
      </c>
      <c r="W207" s="20">
        <f t="shared" si="212"/>
        <v>26</v>
      </c>
    </row>
    <row r="208" ht="18.75" customHeight="1">
      <c r="A208" s="21">
        <f t="shared" si="4"/>
        <v>45184</v>
      </c>
      <c r="B208" s="22">
        <f t="shared" si="5"/>
        <v>145</v>
      </c>
      <c r="C208" s="22">
        <f t="shared" si="6"/>
        <v>21</v>
      </c>
      <c r="D208" s="23">
        <f t="shared" si="7"/>
        <v>124</v>
      </c>
      <c r="E208" s="24">
        <f>'相関係数'!A208</f>
        <v>45184</v>
      </c>
      <c r="F208" s="25">
        <f>'相関係数'!B208</f>
        <v>145</v>
      </c>
      <c r="G208" s="25">
        <f>'相関係数'!C208</f>
        <v>21</v>
      </c>
      <c r="T208" s="29">
        <f>A288</f>
        <v>45070</v>
      </c>
      <c r="U208" s="20">
        <f>D288</f>
        <v>106</v>
      </c>
      <c r="V208" s="30">
        <f t="shared" ref="V208:W208" si="213">B288</f>
        <v>132</v>
      </c>
      <c r="W208" s="20">
        <f t="shared" si="213"/>
        <v>26</v>
      </c>
    </row>
    <row r="209" ht="18.75" customHeight="1">
      <c r="A209" s="21">
        <f t="shared" si="4"/>
        <v>45183</v>
      </c>
      <c r="B209" s="22">
        <f t="shared" si="5"/>
        <v>146</v>
      </c>
      <c r="C209" s="22">
        <f t="shared" si="6"/>
        <v>21</v>
      </c>
      <c r="D209" s="23">
        <f t="shared" si="7"/>
        <v>125</v>
      </c>
      <c r="E209" s="24">
        <f>'相関係数'!A209</f>
        <v>45183</v>
      </c>
      <c r="F209" s="25">
        <f>'相関係数'!B209</f>
        <v>146</v>
      </c>
      <c r="G209" s="25">
        <f>'相関係数'!C209</f>
        <v>21</v>
      </c>
      <c r="T209" s="29">
        <f>A287</f>
        <v>45071</v>
      </c>
      <c r="U209" s="20">
        <f>D287</f>
        <v>105</v>
      </c>
      <c r="V209" s="30">
        <f t="shared" ref="V209:W209" si="214">B287</f>
        <v>131</v>
      </c>
      <c r="W209" s="20">
        <f t="shared" si="214"/>
        <v>26</v>
      </c>
    </row>
    <row r="210" ht="18.75" customHeight="1">
      <c r="A210" s="21">
        <f t="shared" si="4"/>
        <v>45182</v>
      </c>
      <c r="B210" s="22">
        <f t="shared" si="5"/>
        <v>146</v>
      </c>
      <c r="C210" s="22">
        <f t="shared" si="6"/>
        <v>21</v>
      </c>
      <c r="D210" s="23">
        <f t="shared" si="7"/>
        <v>125</v>
      </c>
      <c r="E210" s="24">
        <f>'相関係数'!A210</f>
        <v>45182</v>
      </c>
      <c r="F210" s="25">
        <f>'相関係数'!B210</f>
        <v>146</v>
      </c>
      <c r="G210" s="25">
        <f>'相関係数'!C210</f>
        <v>21</v>
      </c>
      <c r="T210" s="29">
        <f>A286</f>
        <v>45072</v>
      </c>
      <c r="U210" s="20">
        <f>D286</f>
        <v>104</v>
      </c>
      <c r="V210" s="30">
        <f t="shared" ref="V210:W210" si="215">B286</f>
        <v>129</v>
      </c>
      <c r="W210" s="20">
        <f t="shared" si="215"/>
        <v>25</v>
      </c>
    </row>
    <row r="211" ht="18.75" customHeight="1">
      <c r="A211" s="21">
        <f t="shared" si="4"/>
        <v>45181</v>
      </c>
      <c r="B211" s="22">
        <f t="shared" si="5"/>
        <v>147</v>
      </c>
      <c r="C211" s="22">
        <f t="shared" si="6"/>
        <v>20</v>
      </c>
      <c r="D211" s="23">
        <f t="shared" si="7"/>
        <v>127</v>
      </c>
      <c r="E211" s="24">
        <f>'相関係数'!A211</f>
        <v>45181</v>
      </c>
      <c r="F211" s="25">
        <f>'相関係数'!B211</f>
        <v>147</v>
      </c>
      <c r="G211" s="25">
        <f>'相関係数'!C211</f>
        <v>20</v>
      </c>
      <c r="T211" s="29">
        <f>A285</f>
        <v>45075</v>
      </c>
      <c r="U211" s="20">
        <f>D285</f>
        <v>112</v>
      </c>
      <c r="V211" s="30">
        <f t="shared" ref="V211:W211" si="216">B285</f>
        <v>136</v>
      </c>
      <c r="W211" s="20">
        <f t="shared" si="216"/>
        <v>24</v>
      </c>
    </row>
    <row r="212" ht="18.75" customHeight="1">
      <c r="A212" s="21">
        <f t="shared" si="4"/>
        <v>45180</v>
      </c>
      <c r="B212" s="22">
        <f t="shared" si="5"/>
        <v>144</v>
      </c>
      <c r="C212" s="22">
        <f t="shared" si="6"/>
        <v>22</v>
      </c>
      <c r="D212" s="23">
        <f t="shared" si="7"/>
        <v>122</v>
      </c>
      <c r="E212" s="24">
        <f>'相関係数'!A212</f>
        <v>45180</v>
      </c>
      <c r="F212" s="25">
        <f>'相関係数'!B212</f>
        <v>144</v>
      </c>
      <c r="G212" s="25">
        <f>'相関係数'!C212</f>
        <v>22</v>
      </c>
      <c r="T212" s="29">
        <f>A284</f>
        <v>45076</v>
      </c>
      <c r="U212" s="20">
        <f>D284</f>
        <v>116</v>
      </c>
      <c r="V212" s="30">
        <f t="shared" ref="V212:W212" si="217">B284</f>
        <v>139</v>
      </c>
      <c r="W212" s="20">
        <f t="shared" si="217"/>
        <v>23</v>
      </c>
    </row>
    <row r="213" ht="18.75" customHeight="1">
      <c r="A213" s="21">
        <f t="shared" si="4"/>
        <v>45177</v>
      </c>
      <c r="B213" s="22">
        <f t="shared" si="5"/>
        <v>147</v>
      </c>
      <c r="C213" s="22">
        <f t="shared" si="6"/>
        <v>22</v>
      </c>
      <c r="D213" s="23">
        <f t="shared" si="7"/>
        <v>125</v>
      </c>
      <c r="E213" s="24">
        <f>'相関係数'!A213</f>
        <v>45177</v>
      </c>
      <c r="F213" s="25">
        <f>'相関係数'!B213</f>
        <v>147</v>
      </c>
      <c r="G213" s="25">
        <f>'相関係数'!C213</f>
        <v>22</v>
      </c>
      <c r="T213" s="29">
        <f>A283</f>
        <v>45077</v>
      </c>
      <c r="U213" s="20">
        <f>D283</f>
        <v>115</v>
      </c>
      <c r="V213" s="30">
        <f t="shared" ref="V213:W213" si="218">B283</f>
        <v>137</v>
      </c>
      <c r="W213" s="20">
        <f t="shared" si="218"/>
        <v>22</v>
      </c>
    </row>
    <row r="214" ht="18.75" customHeight="1">
      <c r="A214" s="21">
        <f t="shared" si="4"/>
        <v>45176</v>
      </c>
      <c r="B214" s="22">
        <f t="shared" si="5"/>
        <v>150</v>
      </c>
      <c r="C214" s="22">
        <f t="shared" si="6"/>
        <v>21</v>
      </c>
      <c r="D214" s="23">
        <f t="shared" si="7"/>
        <v>129</v>
      </c>
      <c r="E214" s="24">
        <f>'相関係数'!A214</f>
        <v>45176</v>
      </c>
      <c r="F214" s="25">
        <f>'相関係数'!B214</f>
        <v>150</v>
      </c>
      <c r="G214" s="25">
        <f>'相関係数'!C214</f>
        <v>21</v>
      </c>
      <c r="T214" s="29">
        <f>A282</f>
        <v>45078</v>
      </c>
      <c r="U214" s="20">
        <f>D282</f>
        <v>114</v>
      </c>
      <c r="V214" s="30">
        <f t="shared" ref="V214:W214" si="219">B282</f>
        <v>138</v>
      </c>
      <c r="W214" s="20">
        <f t="shared" si="219"/>
        <v>24</v>
      </c>
    </row>
    <row r="215" ht="18.75" customHeight="1">
      <c r="A215" s="21">
        <f t="shared" si="4"/>
        <v>45175</v>
      </c>
      <c r="B215" s="22">
        <f t="shared" si="5"/>
        <v>151</v>
      </c>
      <c r="C215" s="22">
        <f t="shared" si="6"/>
        <v>21</v>
      </c>
      <c r="D215" s="23">
        <f t="shared" si="7"/>
        <v>130</v>
      </c>
      <c r="E215" s="24">
        <f>'相関係数'!A215</f>
        <v>45175</v>
      </c>
      <c r="F215" s="25">
        <f>'相関係数'!B215</f>
        <v>151</v>
      </c>
      <c r="G215" s="25">
        <f>'相関係数'!C215</f>
        <v>21</v>
      </c>
      <c r="T215" s="29">
        <f>A281</f>
        <v>45079</v>
      </c>
      <c r="U215" s="20">
        <f>D281</f>
        <v>113</v>
      </c>
      <c r="V215" s="30">
        <f t="shared" ref="V215:W215" si="220">B281</f>
        <v>136</v>
      </c>
      <c r="W215" s="20">
        <f t="shared" si="220"/>
        <v>23</v>
      </c>
    </row>
    <row r="216" ht="18.75" customHeight="1">
      <c r="A216" s="21">
        <f t="shared" si="4"/>
        <v>45174</v>
      </c>
      <c r="B216" s="22">
        <f t="shared" si="5"/>
        <v>150</v>
      </c>
      <c r="C216" s="22">
        <f t="shared" si="6"/>
        <v>21</v>
      </c>
      <c r="D216" s="23">
        <f t="shared" si="7"/>
        <v>129</v>
      </c>
      <c r="E216" s="24">
        <f>'相関係数'!A216</f>
        <v>45174</v>
      </c>
      <c r="F216" s="25">
        <f>'相関係数'!B216</f>
        <v>150</v>
      </c>
      <c r="G216" s="25">
        <f>'相関係数'!C216</f>
        <v>21</v>
      </c>
      <c r="T216" s="29">
        <f>A280</f>
        <v>45082</v>
      </c>
      <c r="U216" s="20">
        <f>D280</f>
        <v>115</v>
      </c>
      <c r="V216" s="30">
        <f t="shared" ref="V216:W216" si="221">B280</f>
        <v>139</v>
      </c>
      <c r="W216" s="20">
        <f t="shared" si="221"/>
        <v>24</v>
      </c>
    </row>
    <row r="217" ht="18.75" customHeight="1">
      <c r="A217" s="21">
        <f t="shared" si="4"/>
        <v>45173</v>
      </c>
      <c r="B217" s="22">
        <f t="shared" si="5"/>
        <v>149</v>
      </c>
      <c r="C217" s="22">
        <f t="shared" si="6"/>
        <v>22</v>
      </c>
      <c r="D217" s="23">
        <f t="shared" si="7"/>
        <v>127</v>
      </c>
      <c r="E217" s="24">
        <f>'相関係数'!A217</f>
        <v>45173</v>
      </c>
      <c r="F217" s="25">
        <f>'相関係数'!B217</f>
        <v>149</v>
      </c>
      <c r="G217" s="25">
        <f>'相関係数'!C217</f>
        <v>22</v>
      </c>
      <c r="T217" s="29">
        <f>A279</f>
        <v>45083</v>
      </c>
      <c r="U217" s="20">
        <f>D279</f>
        <v>113</v>
      </c>
      <c r="V217" s="30">
        <f t="shared" ref="V217:W217" si="222">B279</f>
        <v>136</v>
      </c>
      <c r="W217" s="20">
        <f t="shared" si="222"/>
        <v>23</v>
      </c>
    </row>
    <row r="218" ht="18.75" customHeight="1">
      <c r="A218" s="21">
        <f t="shared" si="4"/>
        <v>45170</v>
      </c>
      <c r="B218" s="22">
        <f t="shared" si="5"/>
        <v>151</v>
      </c>
      <c r="C218" s="22">
        <f t="shared" si="6"/>
        <v>22</v>
      </c>
      <c r="D218" s="23">
        <f t="shared" si="7"/>
        <v>129</v>
      </c>
      <c r="E218" s="24">
        <f>'相関係数'!A218</f>
        <v>45170</v>
      </c>
      <c r="F218" s="25">
        <f>'相関係数'!B218</f>
        <v>151</v>
      </c>
      <c r="G218" s="25">
        <f>'相関係数'!C218</f>
        <v>22</v>
      </c>
      <c r="T218" s="29">
        <f>A278</f>
        <v>45084</v>
      </c>
      <c r="U218" s="20">
        <f>D278</f>
        <v>114</v>
      </c>
      <c r="V218" s="30">
        <f t="shared" ref="V218:W218" si="223">B278</f>
        <v>137</v>
      </c>
      <c r="W218" s="20">
        <f t="shared" si="223"/>
        <v>23</v>
      </c>
    </row>
    <row r="219" ht="18.75" customHeight="1">
      <c r="A219" s="21">
        <f t="shared" si="4"/>
        <v>45169</v>
      </c>
      <c r="B219" s="22">
        <f t="shared" si="5"/>
        <v>153</v>
      </c>
      <c r="C219" s="22">
        <f t="shared" si="6"/>
        <v>23</v>
      </c>
      <c r="D219" s="23">
        <f t="shared" si="7"/>
        <v>130</v>
      </c>
      <c r="E219" s="24">
        <f>'相関係数'!A219</f>
        <v>45169</v>
      </c>
      <c r="F219" s="25">
        <f>'相関係数'!B219</f>
        <v>153</v>
      </c>
      <c r="G219" s="25">
        <f>'相関係数'!C219</f>
        <v>23</v>
      </c>
      <c r="T219" s="29">
        <f>A277</f>
        <v>45085</v>
      </c>
      <c r="U219" s="20">
        <f>D277</f>
        <v>110</v>
      </c>
      <c r="V219" s="30">
        <f t="shared" ref="V219:W219" si="224">B277</f>
        <v>133</v>
      </c>
      <c r="W219" s="20">
        <f t="shared" si="224"/>
        <v>23</v>
      </c>
    </row>
    <row r="220" ht="18.75" customHeight="1">
      <c r="A220" s="21">
        <f t="shared" si="4"/>
        <v>45168</v>
      </c>
      <c r="B220" s="22">
        <f t="shared" si="5"/>
        <v>147</v>
      </c>
      <c r="C220" s="22">
        <f t="shared" si="6"/>
        <v>22</v>
      </c>
      <c r="D220" s="23">
        <f t="shared" si="7"/>
        <v>125</v>
      </c>
      <c r="E220" s="24">
        <f>'相関係数'!A220</f>
        <v>45168</v>
      </c>
      <c r="F220" s="25">
        <f>'相関係数'!B220</f>
        <v>147</v>
      </c>
      <c r="G220" s="25">
        <f>'相関係数'!C220</f>
        <v>22</v>
      </c>
      <c r="T220" s="29">
        <f>A276</f>
        <v>45086</v>
      </c>
      <c r="U220" s="20">
        <f>D276</f>
        <v>112</v>
      </c>
      <c r="V220" s="30">
        <f t="shared" ref="V220:W220" si="225">B276</f>
        <v>134</v>
      </c>
      <c r="W220" s="20">
        <f t="shared" si="225"/>
        <v>22</v>
      </c>
    </row>
    <row r="221" ht="18.75" customHeight="1">
      <c r="A221" s="21">
        <f t="shared" si="4"/>
        <v>45167</v>
      </c>
      <c r="B221" s="22">
        <f t="shared" si="5"/>
        <v>148</v>
      </c>
      <c r="C221" s="22">
        <f t="shared" si="6"/>
        <v>23</v>
      </c>
      <c r="D221" s="23">
        <f t="shared" si="7"/>
        <v>125</v>
      </c>
      <c r="E221" s="24">
        <f>'相関係数'!A221</f>
        <v>45167</v>
      </c>
      <c r="F221" s="25">
        <f>'相関係数'!B221</f>
        <v>148</v>
      </c>
      <c r="G221" s="25">
        <f>'相関係数'!C221</f>
        <v>23</v>
      </c>
      <c r="T221" s="29">
        <f>A275</f>
        <v>45089</v>
      </c>
      <c r="U221" s="20">
        <f>D275</f>
        <v>114</v>
      </c>
      <c r="V221" s="30">
        <f t="shared" ref="V221:W221" si="226">B275</f>
        <v>137</v>
      </c>
      <c r="W221" s="20">
        <f t="shared" si="226"/>
        <v>23</v>
      </c>
    </row>
    <row r="222" ht="18.75" customHeight="1">
      <c r="A222" s="21">
        <f t="shared" si="4"/>
        <v>45166</v>
      </c>
      <c r="B222" s="22">
        <f t="shared" si="5"/>
        <v>146</v>
      </c>
      <c r="C222" s="22">
        <f t="shared" si="6"/>
        <v>23</v>
      </c>
      <c r="D222" s="23">
        <f t="shared" si="7"/>
        <v>123</v>
      </c>
      <c r="E222" s="24">
        <f>'相関係数'!A222</f>
        <v>45166</v>
      </c>
      <c r="F222" s="25">
        <f>'相関係数'!B222</f>
        <v>146</v>
      </c>
      <c r="G222" s="25">
        <f>'相関係数'!C222</f>
        <v>23</v>
      </c>
      <c r="T222" s="29">
        <f>A274</f>
        <v>45090</v>
      </c>
      <c r="U222" s="20">
        <f>D274</f>
        <v>116</v>
      </c>
      <c r="V222" s="30">
        <f t="shared" ref="V222:W222" si="227">B274</f>
        <v>138</v>
      </c>
      <c r="W222" s="20">
        <f t="shared" si="227"/>
        <v>22</v>
      </c>
    </row>
    <row r="223" ht="18.75" customHeight="1">
      <c r="A223" s="21">
        <f t="shared" si="4"/>
        <v>45163</v>
      </c>
      <c r="B223" s="22">
        <f t="shared" si="5"/>
        <v>143</v>
      </c>
      <c r="C223" s="22">
        <f t="shared" si="6"/>
        <v>23</v>
      </c>
      <c r="D223" s="23">
        <f t="shared" si="7"/>
        <v>120</v>
      </c>
      <c r="E223" s="24">
        <f>'相関係数'!A223</f>
        <v>45163</v>
      </c>
      <c r="F223" s="25">
        <f>'相関係数'!B223</f>
        <v>143</v>
      </c>
      <c r="G223" s="25">
        <f>'相関係数'!C223</f>
        <v>23</v>
      </c>
      <c r="T223" s="29">
        <f>A273</f>
        <v>45091</v>
      </c>
      <c r="U223" s="20">
        <f>D273</f>
        <v>114</v>
      </c>
      <c r="V223" s="30">
        <f t="shared" ref="V223:W223" si="228">B273</f>
        <v>136</v>
      </c>
      <c r="W223" s="20">
        <f t="shared" si="228"/>
        <v>22</v>
      </c>
    </row>
    <row r="224" ht="18.75" customHeight="1">
      <c r="A224" s="21">
        <f t="shared" si="4"/>
        <v>45162</v>
      </c>
      <c r="B224" s="22">
        <f t="shared" si="5"/>
        <v>142</v>
      </c>
      <c r="C224" s="22">
        <f t="shared" si="6"/>
        <v>22</v>
      </c>
      <c r="D224" s="23">
        <f t="shared" si="7"/>
        <v>120</v>
      </c>
      <c r="E224" s="24">
        <f>'相関係数'!A224</f>
        <v>45162</v>
      </c>
      <c r="F224" s="25">
        <f>'相関係数'!B224</f>
        <v>142</v>
      </c>
      <c r="G224" s="25">
        <f>'相関係数'!C224</f>
        <v>22</v>
      </c>
      <c r="T224" s="29">
        <f>A272</f>
        <v>45092</v>
      </c>
      <c r="U224" s="20">
        <f>D272</f>
        <v>111</v>
      </c>
      <c r="V224" s="30">
        <f t="shared" ref="V224:W224" si="229">B272</f>
        <v>133</v>
      </c>
      <c r="W224" s="20">
        <f t="shared" si="229"/>
        <v>22</v>
      </c>
    </row>
    <row r="225" ht="18.75" customHeight="1">
      <c r="A225" s="21">
        <f t="shared" si="4"/>
        <v>45161</v>
      </c>
      <c r="B225" s="22">
        <f t="shared" si="5"/>
        <v>139</v>
      </c>
      <c r="C225" s="22">
        <f t="shared" si="6"/>
        <v>22</v>
      </c>
      <c r="D225" s="23">
        <f t="shared" si="7"/>
        <v>117</v>
      </c>
      <c r="E225" s="24">
        <f>'相関係数'!A225</f>
        <v>45161</v>
      </c>
      <c r="F225" s="25">
        <f>'相関係数'!B225</f>
        <v>139</v>
      </c>
      <c r="G225" s="25">
        <f>'相関係数'!C225</f>
        <v>22</v>
      </c>
      <c r="T225" s="29">
        <f>A271</f>
        <v>45093</v>
      </c>
      <c r="U225" s="20">
        <f>D271</f>
        <v>125</v>
      </c>
      <c r="V225" s="30">
        <f t="shared" ref="V225:W225" si="230">B271</f>
        <v>147</v>
      </c>
      <c r="W225" s="20">
        <f t="shared" si="230"/>
        <v>22</v>
      </c>
    </row>
    <row r="226" ht="18.75" customHeight="1">
      <c r="A226" s="21">
        <f t="shared" si="4"/>
        <v>45160</v>
      </c>
      <c r="B226" s="22">
        <f t="shared" si="5"/>
        <v>138</v>
      </c>
      <c r="C226" s="22">
        <f t="shared" si="6"/>
        <v>22</v>
      </c>
      <c r="D226" s="23">
        <f t="shared" si="7"/>
        <v>116</v>
      </c>
      <c r="E226" s="24">
        <f>'相関係数'!A226</f>
        <v>45160</v>
      </c>
      <c r="F226" s="25">
        <f>'相関係数'!B226</f>
        <v>138</v>
      </c>
      <c r="G226" s="25">
        <f>'相関係数'!C226</f>
        <v>22</v>
      </c>
      <c r="T226" s="29">
        <f>A270</f>
        <v>45096</v>
      </c>
      <c r="U226" s="20">
        <f>D270</f>
        <v>135</v>
      </c>
      <c r="V226" s="30">
        <f t="shared" ref="V226:W226" si="231">B270</f>
        <v>157</v>
      </c>
      <c r="W226" s="20">
        <f t="shared" si="231"/>
        <v>22</v>
      </c>
    </row>
    <row r="227" ht="18.75" customHeight="1">
      <c r="A227" s="21">
        <f t="shared" si="4"/>
        <v>45159</v>
      </c>
      <c r="B227" s="22">
        <f t="shared" si="5"/>
        <v>138</v>
      </c>
      <c r="C227" s="22">
        <f t="shared" si="6"/>
        <v>21</v>
      </c>
      <c r="D227" s="23">
        <f t="shared" si="7"/>
        <v>117</v>
      </c>
      <c r="E227" s="24">
        <f>'相関係数'!A227</f>
        <v>45159</v>
      </c>
      <c r="F227" s="25">
        <f>'相関係数'!B227</f>
        <v>138</v>
      </c>
      <c r="G227" s="25">
        <f>'相関係数'!C227</f>
        <v>21</v>
      </c>
      <c r="T227" s="29">
        <f>A269</f>
        <v>45097</v>
      </c>
      <c r="U227" s="20">
        <f>D269</f>
        <v>124</v>
      </c>
      <c r="V227" s="30">
        <f t="shared" ref="V227:W227" si="232">B269</f>
        <v>147</v>
      </c>
      <c r="W227" s="20">
        <f t="shared" si="232"/>
        <v>23</v>
      </c>
    </row>
    <row r="228" ht="18.75" customHeight="1">
      <c r="A228" s="21">
        <f t="shared" si="4"/>
        <v>45156</v>
      </c>
      <c r="B228" s="22">
        <f t="shared" si="5"/>
        <v>136</v>
      </c>
      <c r="C228" s="22">
        <f t="shared" si="6"/>
        <v>22</v>
      </c>
      <c r="D228" s="23">
        <f t="shared" si="7"/>
        <v>114</v>
      </c>
      <c r="E228" s="24">
        <f>'相関係数'!A228</f>
        <v>45156</v>
      </c>
      <c r="F228" s="25">
        <f>'相関係数'!B228</f>
        <v>136</v>
      </c>
      <c r="G228" s="25">
        <f>'相関係数'!C228</f>
        <v>22</v>
      </c>
      <c r="T228" s="29">
        <f>A268</f>
        <v>45098</v>
      </c>
      <c r="U228" s="20">
        <f>D268</f>
        <v>127</v>
      </c>
      <c r="V228" s="30">
        <f t="shared" ref="V228:W228" si="233">B268</f>
        <v>150</v>
      </c>
      <c r="W228" s="20">
        <f t="shared" si="233"/>
        <v>23</v>
      </c>
    </row>
    <row r="229" ht="18.75" customHeight="1">
      <c r="A229" s="21">
        <f t="shared" si="4"/>
        <v>45155</v>
      </c>
      <c r="B229" s="22">
        <f t="shared" si="5"/>
        <v>135</v>
      </c>
      <c r="C229" s="22">
        <f t="shared" si="6"/>
        <v>22</v>
      </c>
      <c r="D229" s="23">
        <f t="shared" si="7"/>
        <v>113</v>
      </c>
      <c r="E229" s="24">
        <f>'相関係数'!A229</f>
        <v>45155</v>
      </c>
      <c r="F229" s="25">
        <f>'相関係数'!B229</f>
        <v>135</v>
      </c>
      <c r="G229" s="25">
        <f>'相関係数'!C229</f>
        <v>22</v>
      </c>
      <c r="T229" s="29">
        <f>A267</f>
        <v>45099</v>
      </c>
      <c r="U229" s="20">
        <f>D267</f>
        <v>126</v>
      </c>
      <c r="V229" s="30">
        <f t="shared" ref="V229:W229" si="234">B267</f>
        <v>148</v>
      </c>
      <c r="W229" s="20">
        <f t="shared" si="234"/>
        <v>22</v>
      </c>
    </row>
    <row r="230" ht="18.75" customHeight="1">
      <c r="A230" s="21">
        <f t="shared" si="4"/>
        <v>45154</v>
      </c>
      <c r="B230" s="22">
        <f t="shared" si="5"/>
        <v>137</v>
      </c>
      <c r="C230" s="22">
        <f t="shared" si="6"/>
        <v>22</v>
      </c>
      <c r="D230" s="23">
        <f t="shared" si="7"/>
        <v>115</v>
      </c>
      <c r="E230" s="24">
        <f>'相関係数'!A230</f>
        <v>45154</v>
      </c>
      <c r="F230" s="25">
        <f>'相関係数'!B230</f>
        <v>137</v>
      </c>
      <c r="G230" s="25">
        <f>'相関係数'!C230</f>
        <v>22</v>
      </c>
      <c r="T230" s="29">
        <f>A266</f>
        <v>45100</v>
      </c>
      <c r="U230" s="20">
        <f>D266</f>
        <v>127</v>
      </c>
      <c r="V230" s="30">
        <f t="shared" ref="V230:W230" si="235">B266</f>
        <v>149</v>
      </c>
      <c r="W230" s="20">
        <f t="shared" si="235"/>
        <v>22</v>
      </c>
    </row>
    <row r="231" ht="18.75" customHeight="1">
      <c r="A231" s="21">
        <f t="shared" si="4"/>
        <v>45153</v>
      </c>
      <c r="B231" s="22">
        <f t="shared" si="5"/>
        <v>139</v>
      </c>
      <c r="C231" s="22">
        <f t="shared" si="6"/>
        <v>22</v>
      </c>
      <c r="D231" s="23">
        <f t="shared" si="7"/>
        <v>117</v>
      </c>
      <c r="E231" s="24">
        <f>'相関係数'!A231</f>
        <v>45153</v>
      </c>
      <c r="F231" s="25">
        <f>'相関係数'!B231</f>
        <v>139</v>
      </c>
      <c r="G231" s="25">
        <f>'相関係数'!C231</f>
        <v>22</v>
      </c>
      <c r="T231" s="29">
        <f>A265</f>
        <v>45103</v>
      </c>
      <c r="U231" s="20">
        <f>D265</f>
        <v>123</v>
      </c>
      <c r="V231" s="30">
        <f t="shared" ref="V231:W231" si="236">B265</f>
        <v>145</v>
      </c>
      <c r="W231" s="20">
        <f t="shared" si="236"/>
        <v>22</v>
      </c>
    </row>
    <row r="232" ht="18.75" customHeight="1">
      <c r="A232" s="21">
        <f t="shared" si="4"/>
        <v>45152</v>
      </c>
      <c r="B232" s="22">
        <f t="shared" si="5"/>
        <v>138</v>
      </c>
      <c r="C232" s="22">
        <f t="shared" si="6"/>
        <v>23</v>
      </c>
      <c r="D232" s="23">
        <f t="shared" si="7"/>
        <v>115</v>
      </c>
      <c r="E232" s="24">
        <f>'相関係数'!A232</f>
        <v>45152</v>
      </c>
      <c r="F232" s="25">
        <f>'相関係数'!B232</f>
        <v>138</v>
      </c>
      <c r="G232" s="25">
        <f>'相関係数'!C232</f>
        <v>23</v>
      </c>
      <c r="T232" s="29">
        <f>A264</f>
        <v>45104</v>
      </c>
      <c r="U232" s="20">
        <f>D264</f>
        <v>118</v>
      </c>
      <c r="V232" s="30">
        <f t="shared" ref="V232:W232" si="237">B264</f>
        <v>140</v>
      </c>
      <c r="W232" s="20">
        <f t="shared" si="237"/>
        <v>22</v>
      </c>
    </row>
    <row r="233" ht="18.75" customHeight="1">
      <c r="A233" s="21">
        <f t="shared" si="4"/>
        <v>45148</v>
      </c>
      <c r="B233" s="22">
        <f t="shared" si="5"/>
        <v>138</v>
      </c>
      <c r="C233" s="22">
        <f t="shared" si="6"/>
        <v>22</v>
      </c>
      <c r="D233" s="23">
        <f t="shared" si="7"/>
        <v>116</v>
      </c>
      <c r="E233" s="24">
        <f>'相関係数'!A233</f>
        <v>45148</v>
      </c>
      <c r="F233" s="25">
        <f>'相関係数'!B233</f>
        <v>138</v>
      </c>
      <c r="G233" s="25">
        <f>'相関係数'!C233</f>
        <v>22</v>
      </c>
      <c r="T233" s="29">
        <f>A263</f>
        <v>45105</v>
      </c>
      <c r="U233" s="20">
        <f>D263</f>
        <v>120</v>
      </c>
      <c r="V233" s="30">
        <f t="shared" ref="V233:W233" si="238">B263</f>
        <v>142</v>
      </c>
      <c r="W233" s="20">
        <f t="shared" si="238"/>
        <v>22</v>
      </c>
    </row>
    <row r="234" ht="18.75" customHeight="1">
      <c r="A234" s="21">
        <f t="shared" si="4"/>
        <v>45147</v>
      </c>
      <c r="B234" s="22">
        <f t="shared" si="5"/>
        <v>139</v>
      </c>
      <c r="C234" s="22">
        <f t="shared" si="6"/>
        <v>23</v>
      </c>
      <c r="D234" s="23">
        <f t="shared" si="7"/>
        <v>116</v>
      </c>
      <c r="E234" s="24">
        <f>'相関係数'!A234</f>
        <v>45147</v>
      </c>
      <c r="F234" s="25">
        <f>'相関係数'!B234</f>
        <v>139</v>
      </c>
      <c r="G234" s="25">
        <f>'相関係数'!C234</f>
        <v>23</v>
      </c>
      <c r="T234" s="29">
        <f>A262</f>
        <v>45106</v>
      </c>
      <c r="U234" s="20">
        <f>D262</f>
        <v>124</v>
      </c>
      <c r="V234" s="30">
        <f t="shared" ref="V234:W234" si="239">B262</f>
        <v>146</v>
      </c>
      <c r="W234" s="20">
        <f t="shared" si="239"/>
        <v>22</v>
      </c>
    </row>
    <row r="235" ht="18.75" customHeight="1">
      <c r="A235" s="21">
        <f t="shared" si="4"/>
        <v>45146</v>
      </c>
      <c r="B235" s="22">
        <f t="shared" si="5"/>
        <v>142</v>
      </c>
      <c r="C235" s="22">
        <f t="shared" si="6"/>
        <v>22</v>
      </c>
      <c r="D235" s="23">
        <f t="shared" si="7"/>
        <v>120</v>
      </c>
      <c r="E235" s="24">
        <f>'相関係数'!A235</f>
        <v>45146</v>
      </c>
      <c r="F235" s="25">
        <f>'相関係数'!B235</f>
        <v>142</v>
      </c>
      <c r="G235" s="25">
        <f>'相関係数'!C235</f>
        <v>22</v>
      </c>
      <c r="T235" s="29">
        <f>A261</f>
        <v>45107</v>
      </c>
      <c r="U235" s="20">
        <f>D261</f>
        <v>122</v>
      </c>
      <c r="V235" s="30">
        <f t="shared" ref="V235:W235" si="240">B261</f>
        <v>144</v>
      </c>
      <c r="W235" s="20">
        <f t="shared" si="240"/>
        <v>22</v>
      </c>
    </row>
    <row r="236" ht="18.75" customHeight="1">
      <c r="A236" s="21">
        <f t="shared" si="4"/>
        <v>45145</v>
      </c>
      <c r="B236" s="22">
        <f t="shared" si="5"/>
        <v>142</v>
      </c>
      <c r="C236" s="22">
        <f t="shared" si="6"/>
        <v>22</v>
      </c>
      <c r="D236" s="23">
        <f t="shared" si="7"/>
        <v>120</v>
      </c>
      <c r="E236" s="24">
        <f>'相関係数'!A236</f>
        <v>45145</v>
      </c>
      <c r="F236" s="25">
        <f>'相関係数'!B236</f>
        <v>142</v>
      </c>
      <c r="G236" s="25">
        <f>'相関係数'!C236</f>
        <v>22</v>
      </c>
      <c r="T236" s="29">
        <f>A260</f>
        <v>45110</v>
      </c>
      <c r="U236" s="20">
        <f>D260</f>
        <v>122</v>
      </c>
      <c r="V236" s="30">
        <f t="shared" ref="V236:W236" si="241">B260</f>
        <v>144</v>
      </c>
      <c r="W236" s="20">
        <f t="shared" si="241"/>
        <v>22</v>
      </c>
    </row>
    <row r="237" ht="18.75" customHeight="1">
      <c r="A237" s="21">
        <f t="shared" si="4"/>
        <v>45142</v>
      </c>
      <c r="B237" s="22">
        <f t="shared" si="5"/>
        <v>137</v>
      </c>
      <c r="C237" s="22">
        <f t="shared" si="6"/>
        <v>22</v>
      </c>
      <c r="D237" s="23">
        <f t="shared" si="7"/>
        <v>115</v>
      </c>
      <c r="E237" s="24">
        <f>'相関係数'!A237</f>
        <v>45142</v>
      </c>
      <c r="F237" s="25">
        <f>'相関係数'!B237</f>
        <v>137</v>
      </c>
      <c r="G237" s="25">
        <f>'相関係数'!C237</f>
        <v>22</v>
      </c>
      <c r="T237" s="29">
        <f>A259</f>
        <v>45111</v>
      </c>
      <c r="U237" s="20">
        <f>D259</f>
        <v>125</v>
      </c>
      <c r="V237" s="30">
        <f t="shared" ref="V237:W237" si="242">B259</f>
        <v>147</v>
      </c>
      <c r="W237" s="20">
        <f t="shared" si="242"/>
        <v>22</v>
      </c>
    </row>
    <row r="238" ht="18.75" customHeight="1">
      <c r="A238" s="21">
        <f t="shared" si="4"/>
        <v>45141</v>
      </c>
      <c r="B238" s="22">
        <f t="shared" si="5"/>
        <v>138</v>
      </c>
      <c r="C238" s="22">
        <f t="shared" si="6"/>
        <v>23</v>
      </c>
      <c r="D238" s="23">
        <f t="shared" si="7"/>
        <v>115</v>
      </c>
      <c r="E238" s="24">
        <f>'相関係数'!A238</f>
        <v>45141</v>
      </c>
      <c r="F238" s="25">
        <f>'相関係数'!B238</f>
        <v>138</v>
      </c>
      <c r="G238" s="25">
        <f>'相関係数'!C238</f>
        <v>23</v>
      </c>
      <c r="T238" s="29">
        <f>A258</f>
        <v>45112</v>
      </c>
      <c r="U238" s="20">
        <f>D258</f>
        <v>124</v>
      </c>
      <c r="V238" s="30">
        <f t="shared" ref="V238:W238" si="243">B258</f>
        <v>146</v>
      </c>
      <c r="W238" s="20">
        <f t="shared" si="243"/>
        <v>22</v>
      </c>
    </row>
    <row r="239" ht="18.75" customHeight="1">
      <c r="A239" s="21">
        <f t="shared" si="4"/>
        <v>45140</v>
      </c>
      <c r="B239" s="22">
        <f t="shared" si="5"/>
        <v>140</v>
      </c>
      <c r="C239" s="22">
        <f t="shared" si="6"/>
        <v>23</v>
      </c>
      <c r="D239" s="23">
        <f t="shared" si="7"/>
        <v>117</v>
      </c>
      <c r="E239" s="24">
        <f>'相関係数'!A239</f>
        <v>45140</v>
      </c>
      <c r="F239" s="25">
        <f>'相関係数'!B239</f>
        <v>140</v>
      </c>
      <c r="G239" s="25">
        <f>'相関係数'!C239</f>
        <v>23</v>
      </c>
      <c r="T239" s="29">
        <f>A257</f>
        <v>45113</v>
      </c>
      <c r="U239" s="20">
        <f>D257</f>
        <v>120</v>
      </c>
      <c r="V239" s="30">
        <f t="shared" ref="V239:W239" si="244">B257</f>
        <v>142</v>
      </c>
      <c r="W239" s="20">
        <f t="shared" si="244"/>
        <v>22</v>
      </c>
    </row>
    <row r="240" ht="18.75" customHeight="1">
      <c r="A240" s="21">
        <f t="shared" si="4"/>
        <v>45139</v>
      </c>
      <c r="B240" s="22">
        <f t="shared" si="5"/>
        <v>143</v>
      </c>
      <c r="C240" s="22">
        <f t="shared" si="6"/>
        <v>23</v>
      </c>
      <c r="D240" s="23">
        <f t="shared" si="7"/>
        <v>120</v>
      </c>
      <c r="E240" s="24">
        <f>'相関係数'!A240</f>
        <v>45139</v>
      </c>
      <c r="F240" s="25">
        <f>'相関係数'!B240</f>
        <v>143</v>
      </c>
      <c r="G240" s="25">
        <f>'相関係数'!C240</f>
        <v>23</v>
      </c>
      <c r="T240" s="29">
        <f>A256</f>
        <v>45114</v>
      </c>
      <c r="U240" s="20">
        <f>D256</f>
        <v>131</v>
      </c>
      <c r="V240" s="30">
        <f t="shared" ref="V240:W240" si="245">B256</f>
        <v>153</v>
      </c>
      <c r="W240" s="20">
        <f t="shared" si="245"/>
        <v>22</v>
      </c>
    </row>
    <row r="241" ht="18.75" customHeight="1">
      <c r="A241" s="21">
        <f t="shared" si="4"/>
        <v>45138</v>
      </c>
      <c r="B241" s="22">
        <f t="shared" si="5"/>
        <v>145</v>
      </c>
      <c r="C241" s="22">
        <f t="shared" si="6"/>
        <v>23</v>
      </c>
      <c r="D241" s="23">
        <f t="shared" si="7"/>
        <v>122</v>
      </c>
      <c r="E241" s="24">
        <f>'相関係数'!A241</f>
        <v>45138</v>
      </c>
      <c r="F241" s="25">
        <f>'相関係数'!B241</f>
        <v>145</v>
      </c>
      <c r="G241" s="25">
        <f>'相関係数'!C241</f>
        <v>23</v>
      </c>
      <c r="T241" s="29">
        <f>A255</f>
        <v>45117</v>
      </c>
      <c r="U241" s="20">
        <f>D255</f>
        <v>129</v>
      </c>
      <c r="V241" s="30">
        <f t="shared" ref="V241:W241" si="246">B255</f>
        <v>150</v>
      </c>
      <c r="W241" s="20">
        <f t="shared" si="246"/>
        <v>21</v>
      </c>
    </row>
    <row r="242" ht="18.75" customHeight="1">
      <c r="A242" s="21">
        <f t="shared" si="4"/>
        <v>45135</v>
      </c>
      <c r="B242" s="22">
        <f t="shared" si="5"/>
        <v>144</v>
      </c>
      <c r="C242" s="22">
        <f t="shared" si="6"/>
        <v>22</v>
      </c>
      <c r="D242" s="23">
        <f t="shared" si="7"/>
        <v>122</v>
      </c>
      <c r="E242" s="24">
        <f>'相関係数'!A242</f>
        <v>45135</v>
      </c>
      <c r="F242" s="25">
        <f>'相関係数'!B242</f>
        <v>144</v>
      </c>
      <c r="G242" s="25">
        <f>'相関係数'!C242</f>
        <v>22</v>
      </c>
      <c r="T242" s="29">
        <f>A254</f>
        <v>45118</v>
      </c>
      <c r="U242" s="20">
        <f>D254</f>
        <v>130</v>
      </c>
      <c r="V242" s="30">
        <f t="shared" ref="V242:W242" si="247">B254</f>
        <v>152</v>
      </c>
      <c r="W242" s="20">
        <f t="shared" si="247"/>
        <v>22</v>
      </c>
    </row>
    <row r="243" ht="18.75" customHeight="1">
      <c r="A243" s="21">
        <f t="shared" si="4"/>
        <v>45134</v>
      </c>
      <c r="B243" s="22">
        <f t="shared" si="5"/>
        <v>146</v>
      </c>
      <c r="C243" s="22">
        <f t="shared" si="6"/>
        <v>23</v>
      </c>
      <c r="D243" s="23">
        <f t="shared" si="7"/>
        <v>123</v>
      </c>
      <c r="E243" s="24">
        <f>'相関係数'!A243</f>
        <v>45134</v>
      </c>
      <c r="F243" s="25">
        <f>'相関係数'!B243</f>
        <v>146</v>
      </c>
      <c r="G243" s="25">
        <f>'相関係数'!C243</f>
        <v>23</v>
      </c>
      <c r="T243" s="29">
        <f>A253</f>
        <v>45119</v>
      </c>
      <c r="U243" s="20">
        <f>D253</f>
        <v>127</v>
      </c>
      <c r="V243" s="30">
        <f t="shared" ref="V243:W243" si="248">B253</f>
        <v>149</v>
      </c>
      <c r="W243" s="20">
        <f t="shared" si="248"/>
        <v>22</v>
      </c>
    </row>
    <row r="244" ht="18.75" customHeight="1">
      <c r="A244" s="21">
        <f t="shared" si="4"/>
        <v>45133</v>
      </c>
      <c r="B244" s="22">
        <f t="shared" si="5"/>
        <v>147</v>
      </c>
      <c r="C244" s="22">
        <f t="shared" si="6"/>
        <v>22</v>
      </c>
      <c r="D244" s="23">
        <f t="shared" si="7"/>
        <v>125</v>
      </c>
      <c r="E244" s="24">
        <f>'相関係数'!A244</f>
        <v>45133</v>
      </c>
      <c r="F244" s="25">
        <f>'相関係数'!B244</f>
        <v>147</v>
      </c>
      <c r="G244" s="25">
        <f>'相関係数'!C244</f>
        <v>22</v>
      </c>
      <c r="T244" s="29">
        <f>A252</f>
        <v>45120</v>
      </c>
      <c r="U244" s="20">
        <f>D252</f>
        <v>131</v>
      </c>
      <c r="V244" s="30">
        <f t="shared" ref="V244:W244" si="249">B252</f>
        <v>154</v>
      </c>
      <c r="W244" s="20">
        <f t="shared" si="249"/>
        <v>23</v>
      </c>
    </row>
    <row r="245" ht="18.75" customHeight="1">
      <c r="A245" s="21">
        <f t="shared" si="4"/>
        <v>45132</v>
      </c>
      <c r="B245" s="22">
        <f t="shared" si="5"/>
        <v>145</v>
      </c>
      <c r="C245" s="22">
        <f t="shared" si="6"/>
        <v>23</v>
      </c>
      <c r="D245" s="23">
        <f t="shared" si="7"/>
        <v>122</v>
      </c>
      <c r="E245" s="24">
        <f>'相関係数'!A245</f>
        <v>45132</v>
      </c>
      <c r="F245" s="25">
        <f>'相関係数'!B245</f>
        <v>145</v>
      </c>
      <c r="G245" s="25">
        <f>'相関係数'!C245</f>
        <v>23</v>
      </c>
      <c r="T245" s="29">
        <f>A251</f>
        <v>45121</v>
      </c>
      <c r="U245" s="20">
        <f>D251</f>
        <v>128</v>
      </c>
      <c r="V245" s="30">
        <f t="shared" ref="V245:W245" si="250">B251</f>
        <v>151</v>
      </c>
      <c r="W245" s="20">
        <f t="shared" si="250"/>
        <v>23</v>
      </c>
    </row>
    <row r="246" ht="18.75" customHeight="1">
      <c r="A246" s="21">
        <f t="shared" si="4"/>
        <v>45131</v>
      </c>
      <c r="B246" s="22">
        <f t="shared" si="5"/>
        <v>146</v>
      </c>
      <c r="C246" s="22">
        <f t="shared" si="6"/>
        <v>23</v>
      </c>
      <c r="D246" s="23">
        <f t="shared" si="7"/>
        <v>123</v>
      </c>
      <c r="E246" s="24">
        <f>'相関係数'!A246</f>
        <v>45131</v>
      </c>
      <c r="F246" s="25">
        <f>'相関係数'!B246</f>
        <v>146</v>
      </c>
      <c r="G246" s="25">
        <f>'相関係数'!C246</f>
        <v>23</v>
      </c>
      <c r="T246" s="29">
        <f>A250</f>
        <v>45125</v>
      </c>
      <c r="U246" s="20">
        <f>D250</f>
        <v>129</v>
      </c>
      <c r="V246" s="30">
        <f t="shared" ref="V246:W246" si="251">B250</f>
        <v>152</v>
      </c>
      <c r="W246" s="20">
        <f t="shared" si="251"/>
        <v>23</v>
      </c>
    </row>
    <row r="247" ht="18.75" customHeight="1">
      <c r="A247" s="21">
        <f t="shared" si="4"/>
        <v>45128</v>
      </c>
      <c r="B247" s="22">
        <f t="shared" si="5"/>
        <v>146</v>
      </c>
      <c r="C247" s="22">
        <f t="shared" si="6"/>
        <v>23</v>
      </c>
      <c r="D247" s="23">
        <f t="shared" si="7"/>
        <v>123</v>
      </c>
      <c r="E247" s="24">
        <f>'相関係数'!A247</f>
        <v>45128</v>
      </c>
      <c r="F247" s="25">
        <f>'相関係数'!B247</f>
        <v>146</v>
      </c>
      <c r="G247" s="25">
        <f>'相関係数'!C247</f>
        <v>23</v>
      </c>
      <c r="T247" s="29">
        <f>A249</f>
        <v>45126</v>
      </c>
      <c r="U247" s="20">
        <f>D249</f>
        <v>127</v>
      </c>
      <c r="V247" s="30">
        <f t="shared" ref="V247:W247" si="252">B249</f>
        <v>150</v>
      </c>
      <c r="W247" s="20">
        <f t="shared" si="252"/>
        <v>23</v>
      </c>
    </row>
    <row r="248" ht="18.75" customHeight="1">
      <c r="A248" s="21">
        <f t="shared" si="4"/>
        <v>45127</v>
      </c>
      <c r="B248" s="22">
        <f t="shared" si="5"/>
        <v>150</v>
      </c>
      <c r="C248" s="22">
        <f t="shared" si="6"/>
        <v>22</v>
      </c>
      <c r="D248" s="23">
        <f t="shared" si="7"/>
        <v>128</v>
      </c>
      <c r="E248" s="24">
        <f>'相関係数'!A248</f>
        <v>45127</v>
      </c>
      <c r="F248" s="25">
        <f>'相関係数'!B248</f>
        <v>150</v>
      </c>
      <c r="G248" s="25">
        <f>'相関係数'!C248</f>
        <v>22</v>
      </c>
      <c r="T248" s="29">
        <f>A248</f>
        <v>45127</v>
      </c>
      <c r="U248" s="20">
        <f>D248</f>
        <v>128</v>
      </c>
      <c r="V248" s="30">
        <f t="shared" ref="V248:W248" si="253">B248</f>
        <v>150</v>
      </c>
      <c r="W248" s="20">
        <f t="shared" si="253"/>
        <v>22</v>
      </c>
    </row>
    <row r="249" ht="18.75" customHeight="1">
      <c r="A249" s="21">
        <f t="shared" si="4"/>
        <v>45126</v>
      </c>
      <c r="B249" s="22">
        <f t="shared" si="5"/>
        <v>150</v>
      </c>
      <c r="C249" s="22">
        <f t="shared" si="6"/>
        <v>23</v>
      </c>
      <c r="D249" s="23">
        <f t="shared" si="7"/>
        <v>127</v>
      </c>
      <c r="E249" s="24">
        <f>'相関係数'!A249</f>
        <v>45126</v>
      </c>
      <c r="F249" s="25">
        <f>'相関係数'!B249</f>
        <v>150</v>
      </c>
      <c r="G249" s="25">
        <f>'相関係数'!C249</f>
        <v>23</v>
      </c>
      <c r="T249" s="29">
        <f>A247</f>
        <v>45128</v>
      </c>
      <c r="U249" s="20">
        <f>D247</f>
        <v>123</v>
      </c>
      <c r="V249" s="30">
        <f t="shared" ref="V249:W249" si="254">B247</f>
        <v>146</v>
      </c>
      <c r="W249" s="20">
        <f t="shared" si="254"/>
        <v>23</v>
      </c>
    </row>
    <row r="250" ht="18.75" customHeight="1">
      <c r="A250" s="21">
        <f t="shared" si="4"/>
        <v>45125</v>
      </c>
      <c r="B250" s="22">
        <f t="shared" si="5"/>
        <v>152</v>
      </c>
      <c r="C250" s="22">
        <f t="shared" si="6"/>
        <v>23</v>
      </c>
      <c r="D250" s="23">
        <f t="shared" si="7"/>
        <v>129</v>
      </c>
      <c r="E250" s="24">
        <f>'相関係数'!A250</f>
        <v>45125</v>
      </c>
      <c r="F250" s="25">
        <f>'相関係数'!B250</f>
        <v>152</v>
      </c>
      <c r="G250" s="25">
        <f>'相関係数'!C250</f>
        <v>23</v>
      </c>
      <c r="T250" s="29">
        <f>A246</f>
        <v>45131</v>
      </c>
      <c r="U250" s="20">
        <f>D246</f>
        <v>123</v>
      </c>
      <c r="V250" s="30">
        <f t="shared" ref="V250:W250" si="255">B246</f>
        <v>146</v>
      </c>
      <c r="W250" s="20">
        <f t="shared" si="255"/>
        <v>23</v>
      </c>
    </row>
    <row r="251" ht="18.75" customHeight="1">
      <c r="A251" s="21">
        <f t="shared" si="4"/>
        <v>45121</v>
      </c>
      <c r="B251" s="22">
        <f t="shared" si="5"/>
        <v>151</v>
      </c>
      <c r="C251" s="22">
        <f t="shared" si="6"/>
        <v>23</v>
      </c>
      <c r="D251" s="23">
        <f t="shared" si="7"/>
        <v>128</v>
      </c>
      <c r="E251" s="24">
        <f>'相関係数'!A251</f>
        <v>45121</v>
      </c>
      <c r="F251" s="25">
        <f>'相関係数'!B251</f>
        <v>151</v>
      </c>
      <c r="G251" s="25">
        <f>'相関係数'!C251</f>
        <v>23</v>
      </c>
      <c r="T251" s="29">
        <f>A245</f>
        <v>45132</v>
      </c>
      <c r="U251" s="20">
        <f>D245</f>
        <v>122</v>
      </c>
      <c r="V251" s="30">
        <f t="shared" ref="V251:W251" si="256">B245</f>
        <v>145</v>
      </c>
      <c r="W251" s="20">
        <f t="shared" si="256"/>
        <v>23</v>
      </c>
    </row>
    <row r="252" ht="18.75" customHeight="1">
      <c r="A252" s="21">
        <f t="shared" si="4"/>
        <v>45120</v>
      </c>
      <c r="B252" s="22">
        <f t="shared" si="5"/>
        <v>154</v>
      </c>
      <c r="C252" s="22">
        <f t="shared" si="6"/>
        <v>23</v>
      </c>
      <c r="D252" s="23">
        <f t="shared" si="7"/>
        <v>131</v>
      </c>
      <c r="E252" s="24">
        <f>'相関係数'!A252</f>
        <v>45120</v>
      </c>
      <c r="F252" s="25">
        <f>'相関係数'!B252</f>
        <v>154</v>
      </c>
      <c r="G252" s="25">
        <f>'相関係数'!C252</f>
        <v>23</v>
      </c>
      <c r="T252" s="29">
        <f>A244</f>
        <v>45133</v>
      </c>
      <c r="U252" s="20">
        <f>D244</f>
        <v>125</v>
      </c>
      <c r="V252" s="30">
        <f t="shared" ref="V252:W252" si="257">B244</f>
        <v>147</v>
      </c>
      <c r="W252" s="20">
        <f t="shared" si="257"/>
        <v>22</v>
      </c>
    </row>
    <row r="253" ht="18.75" customHeight="1">
      <c r="A253" s="21">
        <f t="shared" si="4"/>
        <v>45119</v>
      </c>
      <c r="B253" s="22">
        <f t="shared" si="5"/>
        <v>149</v>
      </c>
      <c r="C253" s="22">
        <f t="shared" si="6"/>
        <v>22</v>
      </c>
      <c r="D253" s="23">
        <f t="shared" si="7"/>
        <v>127</v>
      </c>
      <c r="E253" s="24">
        <f>'相関係数'!A253</f>
        <v>45119</v>
      </c>
      <c r="F253" s="25">
        <f>'相関係数'!B253</f>
        <v>149</v>
      </c>
      <c r="G253" s="25">
        <f>'相関係数'!C253</f>
        <v>22</v>
      </c>
      <c r="T253" s="29">
        <f>A243</f>
        <v>45134</v>
      </c>
      <c r="U253" s="20">
        <f>D243</f>
        <v>123</v>
      </c>
      <c r="V253" s="30">
        <f t="shared" ref="V253:W253" si="258">B243</f>
        <v>146</v>
      </c>
      <c r="W253" s="20">
        <f t="shared" si="258"/>
        <v>23</v>
      </c>
    </row>
    <row r="254" ht="18.75" customHeight="1">
      <c r="A254" s="21">
        <f t="shared" si="4"/>
        <v>45118</v>
      </c>
      <c r="B254" s="22">
        <f t="shared" si="5"/>
        <v>152</v>
      </c>
      <c r="C254" s="22">
        <f t="shared" si="6"/>
        <v>22</v>
      </c>
      <c r="D254" s="23">
        <f t="shared" si="7"/>
        <v>130</v>
      </c>
      <c r="E254" s="24">
        <f>'相関係数'!A254</f>
        <v>45118</v>
      </c>
      <c r="F254" s="25">
        <f>'相関係数'!B254</f>
        <v>152</v>
      </c>
      <c r="G254" s="25">
        <f>'相関係数'!C254</f>
        <v>22</v>
      </c>
      <c r="T254" s="29">
        <f>A242</f>
        <v>45135</v>
      </c>
      <c r="U254" s="20">
        <f>D242</f>
        <v>122</v>
      </c>
      <c r="V254" s="30">
        <f t="shared" ref="V254:W254" si="259">B242</f>
        <v>144</v>
      </c>
      <c r="W254" s="20">
        <f t="shared" si="259"/>
        <v>22</v>
      </c>
    </row>
    <row r="255" ht="18.75" customHeight="1">
      <c r="A255" s="21">
        <f t="shared" si="4"/>
        <v>45117</v>
      </c>
      <c r="B255" s="22">
        <f t="shared" si="5"/>
        <v>150</v>
      </c>
      <c r="C255" s="22">
        <f t="shared" si="6"/>
        <v>21</v>
      </c>
      <c r="D255" s="23">
        <f t="shared" si="7"/>
        <v>129</v>
      </c>
      <c r="E255" s="24">
        <f>'相関係数'!A255</f>
        <v>45117</v>
      </c>
      <c r="F255" s="25">
        <f>'相関係数'!B255</f>
        <v>150</v>
      </c>
      <c r="G255" s="25">
        <f>'相関係数'!C255</f>
        <v>21</v>
      </c>
      <c r="T255" s="29">
        <f>A241</f>
        <v>45138</v>
      </c>
      <c r="U255" s="20">
        <f>D241</f>
        <v>122</v>
      </c>
      <c r="V255" s="30">
        <f t="shared" ref="V255:W255" si="260">B241</f>
        <v>145</v>
      </c>
      <c r="W255" s="20">
        <f t="shared" si="260"/>
        <v>23</v>
      </c>
    </row>
    <row r="256" ht="18.75" customHeight="1">
      <c r="A256" s="21">
        <f t="shared" si="4"/>
        <v>45114</v>
      </c>
      <c r="B256" s="22">
        <f t="shared" si="5"/>
        <v>153</v>
      </c>
      <c r="C256" s="22">
        <f t="shared" si="6"/>
        <v>22</v>
      </c>
      <c r="D256" s="23">
        <f t="shared" si="7"/>
        <v>131</v>
      </c>
      <c r="E256" s="24">
        <f>'相関係数'!A256</f>
        <v>45114</v>
      </c>
      <c r="F256" s="25">
        <f>'相関係数'!B256</f>
        <v>153</v>
      </c>
      <c r="G256" s="25">
        <f>'相関係数'!C256</f>
        <v>22</v>
      </c>
      <c r="T256" s="29">
        <f>A240</f>
        <v>45139</v>
      </c>
      <c r="U256" s="20">
        <f>D240</f>
        <v>120</v>
      </c>
      <c r="V256" s="30">
        <f t="shared" ref="V256:W256" si="261">B240</f>
        <v>143</v>
      </c>
      <c r="W256" s="20">
        <f t="shared" si="261"/>
        <v>23</v>
      </c>
    </row>
    <row r="257" ht="18.75" customHeight="1">
      <c r="A257" s="21">
        <f t="shared" si="4"/>
        <v>45113</v>
      </c>
      <c r="B257" s="22">
        <f t="shared" si="5"/>
        <v>142</v>
      </c>
      <c r="C257" s="22">
        <f t="shared" si="6"/>
        <v>22</v>
      </c>
      <c r="D257" s="23">
        <f t="shared" si="7"/>
        <v>120</v>
      </c>
      <c r="E257" s="24">
        <f>'相関係数'!A257</f>
        <v>45113</v>
      </c>
      <c r="F257" s="25">
        <f>'相関係数'!B257</f>
        <v>142</v>
      </c>
      <c r="G257" s="25">
        <f>'相関係数'!C257</f>
        <v>22</v>
      </c>
      <c r="T257" s="29">
        <f>A239</f>
        <v>45140</v>
      </c>
      <c r="U257" s="20">
        <f>D239</f>
        <v>117</v>
      </c>
      <c r="V257" s="30">
        <f t="shared" ref="V257:W257" si="262">B239</f>
        <v>140</v>
      </c>
      <c r="W257" s="20">
        <f t="shared" si="262"/>
        <v>23</v>
      </c>
    </row>
    <row r="258" ht="18.75" customHeight="1">
      <c r="A258" s="21">
        <f t="shared" si="4"/>
        <v>45112</v>
      </c>
      <c r="B258" s="22">
        <f t="shared" si="5"/>
        <v>146</v>
      </c>
      <c r="C258" s="22">
        <f t="shared" si="6"/>
        <v>22</v>
      </c>
      <c r="D258" s="23">
        <f t="shared" si="7"/>
        <v>124</v>
      </c>
      <c r="E258" s="24">
        <f>'相関係数'!A258</f>
        <v>45112</v>
      </c>
      <c r="F258" s="25">
        <f>'相関係数'!B258</f>
        <v>146</v>
      </c>
      <c r="G258" s="25">
        <f>'相関係数'!C258</f>
        <v>22</v>
      </c>
      <c r="T258" s="29">
        <f>A238</f>
        <v>45141</v>
      </c>
      <c r="U258" s="20">
        <f>D238</f>
        <v>115</v>
      </c>
      <c r="V258" s="30">
        <f t="shared" ref="V258:W258" si="263">B238</f>
        <v>138</v>
      </c>
      <c r="W258" s="20">
        <f t="shared" si="263"/>
        <v>23</v>
      </c>
    </row>
    <row r="259" ht="18.75" customHeight="1">
      <c r="A259" s="21">
        <f t="shared" si="4"/>
        <v>45111</v>
      </c>
      <c r="B259" s="22">
        <f t="shared" si="5"/>
        <v>147</v>
      </c>
      <c r="C259" s="22">
        <f t="shared" si="6"/>
        <v>22</v>
      </c>
      <c r="D259" s="23">
        <f t="shared" si="7"/>
        <v>125</v>
      </c>
      <c r="E259" s="24">
        <f>'相関係数'!A259</f>
        <v>45111</v>
      </c>
      <c r="F259" s="25">
        <f>'相関係数'!B259</f>
        <v>147</v>
      </c>
      <c r="G259" s="25">
        <f>'相関係数'!C259</f>
        <v>22</v>
      </c>
      <c r="T259" s="29">
        <f>A237</f>
        <v>45142</v>
      </c>
      <c r="U259" s="20">
        <f>D237</f>
        <v>115</v>
      </c>
      <c r="V259" s="30">
        <f t="shared" ref="V259:W259" si="264">B237</f>
        <v>137</v>
      </c>
      <c r="W259" s="20">
        <f t="shared" si="264"/>
        <v>22</v>
      </c>
    </row>
    <row r="260" ht="18.75" customHeight="1">
      <c r="A260" s="21">
        <f t="shared" si="4"/>
        <v>45110</v>
      </c>
      <c r="B260" s="22">
        <f t="shared" si="5"/>
        <v>144</v>
      </c>
      <c r="C260" s="22">
        <f t="shared" si="6"/>
        <v>22</v>
      </c>
      <c r="D260" s="23">
        <f t="shared" si="7"/>
        <v>122</v>
      </c>
      <c r="E260" s="24">
        <f>'相関係数'!A260</f>
        <v>45110</v>
      </c>
      <c r="F260" s="25">
        <f>'相関係数'!B260</f>
        <v>144</v>
      </c>
      <c r="G260" s="25">
        <f>'相関係数'!C260</f>
        <v>22</v>
      </c>
      <c r="T260" s="29">
        <f>A236</f>
        <v>45145</v>
      </c>
      <c r="U260" s="20">
        <f>D236</f>
        <v>120</v>
      </c>
      <c r="V260" s="30">
        <f t="shared" ref="V260:W260" si="265">B236</f>
        <v>142</v>
      </c>
      <c r="W260" s="20">
        <f t="shared" si="265"/>
        <v>22</v>
      </c>
    </row>
    <row r="261" ht="18.75" customHeight="1">
      <c r="A261" s="21">
        <f t="shared" si="4"/>
        <v>45107</v>
      </c>
      <c r="B261" s="22">
        <f t="shared" si="5"/>
        <v>144</v>
      </c>
      <c r="C261" s="22">
        <f t="shared" si="6"/>
        <v>22</v>
      </c>
      <c r="D261" s="23">
        <f t="shared" si="7"/>
        <v>122</v>
      </c>
      <c r="E261" s="24">
        <f>'相関係数'!A261</f>
        <v>45107</v>
      </c>
      <c r="F261" s="25">
        <f>'相関係数'!B261</f>
        <v>144</v>
      </c>
      <c r="G261" s="25">
        <f>'相関係数'!C261</f>
        <v>22</v>
      </c>
      <c r="T261" s="29">
        <f>A235</f>
        <v>45146</v>
      </c>
      <c r="U261" s="20">
        <f>D235</f>
        <v>120</v>
      </c>
      <c r="V261" s="30">
        <f t="shared" ref="V261:W261" si="266">B235</f>
        <v>142</v>
      </c>
      <c r="W261" s="20">
        <f t="shared" si="266"/>
        <v>22</v>
      </c>
    </row>
    <row r="262" ht="18.75" customHeight="1">
      <c r="A262" s="21">
        <f t="shared" si="4"/>
        <v>45106</v>
      </c>
      <c r="B262" s="22">
        <f t="shared" si="5"/>
        <v>146</v>
      </c>
      <c r="C262" s="22">
        <f t="shared" si="6"/>
        <v>22</v>
      </c>
      <c r="D262" s="23">
        <f t="shared" si="7"/>
        <v>124</v>
      </c>
      <c r="E262" s="24">
        <f>'相関係数'!A262</f>
        <v>45106</v>
      </c>
      <c r="F262" s="25">
        <f>'相関係数'!B262</f>
        <v>146</v>
      </c>
      <c r="G262" s="25">
        <f>'相関係数'!C262</f>
        <v>22</v>
      </c>
      <c r="T262" s="29">
        <f>A234</f>
        <v>45147</v>
      </c>
      <c r="U262" s="20">
        <f>D234</f>
        <v>116</v>
      </c>
      <c r="V262" s="30">
        <f t="shared" ref="V262:W262" si="267">B234</f>
        <v>139</v>
      </c>
      <c r="W262" s="20">
        <f t="shared" si="267"/>
        <v>23</v>
      </c>
    </row>
    <row r="263" ht="18.75" customHeight="1">
      <c r="A263" s="21">
        <f t="shared" si="4"/>
        <v>45105</v>
      </c>
      <c r="B263" s="22">
        <f t="shared" si="5"/>
        <v>142</v>
      </c>
      <c r="C263" s="22">
        <f t="shared" si="6"/>
        <v>22</v>
      </c>
      <c r="D263" s="23">
        <f t="shared" si="7"/>
        <v>120</v>
      </c>
      <c r="E263" s="24">
        <f>'相関係数'!A263</f>
        <v>45105</v>
      </c>
      <c r="F263" s="25">
        <f>'相関係数'!B263</f>
        <v>142</v>
      </c>
      <c r="G263" s="25">
        <f>'相関係数'!C263</f>
        <v>22</v>
      </c>
      <c r="T263" s="29">
        <f>A233</f>
        <v>45148</v>
      </c>
      <c r="U263" s="20">
        <f>D233</f>
        <v>116</v>
      </c>
      <c r="V263" s="30">
        <f t="shared" ref="V263:W263" si="268">B233</f>
        <v>138</v>
      </c>
      <c r="W263" s="20">
        <f t="shared" si="268"/>
        <v>22</v>
      </c>
    </row>
    <row r="264" ht="18.75" customHeight="1">
      <c r="A264" s="21">
        <f t="shared" si="4"/>
        <v>45104</v>
      </c>
      <c r="B264" s="22">
        <f t="shared" si="5"/>
        <v>140</v>
      </c>
      <c r="C264" s="22">
        <f t="shared" si="6"/>
        <v>22</v>
      </c>
      <c r="D264" s="23">
        <f t="shared" si="7"/>
        <v>118</v>
      </c>
      <c r="E264" s="24">
        <f>'相関係数'!A264</f>
        <v>45104</v>
      </c>
      <c r="F264" s="25">
        <f>'相関係数'!B264</f>
        <v>140</v>
      </c>
      <c r="G264" s="25">
        <f>'相関係数'!C264</f>
        <v>22</v>
      </c>
      <c r="T264" s="29">
        <f>A232</f>
        <v>45152</v>
      </c>
      <c r="U264" s="20">
        <f>D232</f>
        <v>115</v>
      </c>
      <c r="V264" s="30">
        <f t="shared" ref="V264:W264" si="269">B232</f>
        <v>138</v>
      </c>
      <c r="W264" s="20">
        <f t="shared" si="269"/>
        <v>23</v>
      </c>
    </row>
    <row r="265" ht="18.75" customHeight="1">
      <c r="A265" s="21">
        <f t="shared" si="4"/>
        <v>45103</v>
      </c>
      <c r="B265" s="22">
        <f t="shared" si="5"/>
        <v>145</v>
      </c>
      <c r="C265" s="22">
        <f t="shared" si="6"/>
        <v>22</v>
      </c>
      <c r="D265" s="23">
        <f t="shared" si="7"/>
        <v>123</v>
      </c>
      <c r="E265" s="24">
        <f>'相関係数'!A265</f>
        <v>45103</v>
      </c>
      <c r="F265" s="25">
        <f>'相関係数'!B265</f>
        <v>145</v>
      </c>
      <c r="G265" s="25">
        <f>'相関係数'!C265</f>
        <v>22</v>
      </c>
      <c r="T265" s="29">
        <f>A231</f>
        <v>45153</v>
      </c>
      <c r="U265" s="20">
        <f>D231</f>
        <v>117</v>
      </c>
      <c r="V265" s="30">
        <f t="shared" ref="V265:W265" si="270">B231</f>
        <v>139</v>
      </c>
      <c r="W265" s="20">
        <f t="shared" si="270"/>
        <v>22</v>
      </c>
    </row>
    <row r="266" ht="18.75" customHeight="1">
      <c r="A266" s="21">
        <f t="shared" si="4"/>
        <v>45100</v>
      </c>
      <c r="B266" s="22">
        <f t="shared" si="5"/>
        <v>149</v>
      </c>
      <c r="C266" s="22">
        <f t="shared" si="6"/>
        <v>22</v>
      </c>
      <c r="D266" s="23">
        <f t="shared" si="7"/>
        <v>127</v>
      </c>
      <c r="E266" s="24">
        <f>'相関係数'!A266</f>
        <v>45100</v>
      </c>
      <c r="F266" s="25">
        <f>'相関係数'!B266</f>
        <v>149</v>
      </c>
      <c r="G266" s="25">
        <f>'相関係数'!C266</f>
        <v>22</v>
      </c>
      <c r="T266" s="29">
        <f>A230</f>
        <v>45154</v>
      </c>
      <c r="U266" s="20">
        <f>D230</f>
        <v>115</v>
      </c>
      <c r="V266" s="30">
        <f t="shared" ref="V266:W266" si="271">B230</f>
        <v>137</v>
      </c>
      <c r="W266" s="20">
        <f t="shared" si="271"/>
        <v>22</v>
      </c>
    </row>
    <row r="267" ht="18.75" customHeight="1">
      <c r="A267" s="21">
        <f t="shared" si="4"/>
        <v>45099</v>
      </c>
      <c r="B267" s="22">
        <f t="shared" si="5"/>
        <v>148</v>
      </c>
      <c r="C267" s="22">
        <f t="shared" si="6"/>
        <v>22</v>
      </c>
      <c r="D267" s="23">
        <f t="shared" si="7"/>
        <v>126</v>
      </c>
      <c r="E267" s="24">
        <f>'相関係数'!A267</f>
        <v>45099</v>
      </c>
      <c r="F267" s="25">
        <f>'相関係数'!B267</f>
        <v>148</v>
      </c>
      <c r="G267" s="25">
        <f>'相関係数'!C267</f>
        <v>22</v>
      </c>
      <c r="T267" s="29">
        <f>A229</f>
        <v>45155</v>
      </c>
      <c r="U267" s="20">
        <f>D229</f>
        <v>113</v>
      </c>
      <c r="V267" s="30">
        <f t="shared" ref="V267:W267" si="272">B229</f>
        <v>135</v>
      </c>
      <c r="W267" s="20">
        <f t="shared" si="272"/>
        <v>22</v>
      </c>
    </row>
    <row r="268" ht="18.75" customHeight="1">
      <c r="A268" s="21">
        <f t="shared" si="4"/>
        <v>45098</v>
      </c>
      <c r="B268" s="22">
        <f t="shared" si="5"/>
        <v>150</v>
      </c>
      <c r="C268" s="22">
        <f t="shared" si="6"/>
        <v>23</v>
      </c>
      <c r="D268" s="23">
        <f t="shared" si="7"/>
        <v>127</v>
      </c>
      <c r="E268" s="24">
        <f>'相関係数'!A268</f>
        <v>45098</v>
      </c>
      <c r="F268" s="25">
        <f>'相関係数'!B268</f>
        <v>150</v>
      </c>
      <c r="G268" s="25">
        <f>'相関係数'!C268</f>
        <v>23</v>
      </c>
      <c r="T268" s="29">
        <f>A228</f>
        <v>45156</v>
      </c>
      <c r="U268" s="20">
        <f>D228</f>
        <v>114</v>
      </c>
      <c r="V268" s="30">
        <f t="shared" ref="V268:W268" si="273">B228</f>
        <v>136</v>
      </c>
      <c r="W268" s="20">
        <f t="shared" si="273"/>
        <v>22</v>
      </c>
    </row>
    <row r="269" ht="18.75" customHeight="1">
      <c r="A269" s="21">
        <f t="shared" si="4"/>
        <v>45097</v>
      </c>
      <c r="B269" s="22">
        <f t="shared" si="5"/>
        <v>147</v>
      </c>
      <c r="C269" s="22">
        <f t="shared" si="6"/>
        <v>23</v>
      </c>
      <c r="D269" s="23">
        <f t="shared" si="7"/>
        <v>124</v>
      </c>
      <c r="E269" s="24">
        <f>'相関係数'!A269</f>
        <v>45097</v>
      </c>
      <c r="F269" s="25">
        <f>'相関係数'!B269</f>
        <v>147</v>
      </c>
      <c r="G269" s="25">
        <f>'相関係数'!C269</f>
        <v>23</v>
      </c>
      <c r="T269" s="29">
        <f>A227</f>
        <v>45159</v>
      </c>
      <c r="U269" s="20">
        <f>D227</f>
        <v>117</v>
      </c>
      <c r="V269" s="30">
        <f t="shared" ref="V269:W269" si="274">B227</f>
        <v>138</v>
      </c>
      <c r="W269" s="20">
        <f t="shared" si="274"/>
        <v>21</v>
      </c>
    </row>
    <row r="270" ht="18.75" customHeight="1">
      <c r="A270" s="21">
        <f t="shared" si="4"/>
        <v>45096</v>
      </c>
      <c r="B270" s="22">
        <f t="shared" si="5"/>
        <v>157</v>
      </c>
      <c r="C270" s="22">
        <f t="shared" si="6"/>
        <v>22</v>
      </c>
      <c r="D270" s="23">
        <f t="shared" si="7"/>
        <v>135</v>
      </c>
      <c r="E270" s="24">
        <f>'相関係数'!A270</f>
        <v>45096</v>
      </c>
      <c r="F270" s="25">
        <f>'相関係数'!B270</f>
        <v>157</v>
      </c>
      <c r="G270" s="25">
        <f>'相関係数'!C270</f>
        <v>22</v>
      </c>
      <c r="T270" s="29">
        <f>A226</f>
        <v>45160</v>
      </c>
      <c r="U270" s="20">
        <f>D226</f>
        <v>116</v>
      </c>
      <c r="V270" s="30">
        <f t="shared" ref="V270:W270" si="275">B226</f>
        <v>138</v>
      </c>
      <c r="W270" s="20">
        <f t="shared" si="275"/>
        <v>22</v>
      </c>
    </row>
    <row r="271" ht="18.75" customHeight="1">
      <c r="A271" s="21">
        <f t="shared" si="4"/>
        <v>45093</v>
      </c>
      <c r="B271" s="22">
        <f t="shared" si="5"/>
        <v>147</v>
      </c>
      <c r="C271" s="22">
        <f t="shared" si="6"/>
        <v>22</v>
      </c>
      <c r="D271" s="23">
        <f t="shared" si="7"/>
        <v>125</v>
      </c>
      <c r="E271" s="24">
        <f>'相関係数'!A271</f>
        <v>45093</v>
      </c>
      <c r="F271" s="25">
        <f>'相関係数'!B271</f>
        <v>147</v>
      </c>
      <c r="G271" s="25">
        <f>'相関係数'!C271</f>
        <v>22</v>
      </c>
      <c r="T271" s="29">
        <f>A225</f>
        <v>45161</v>
      </c>
      <c r="U271" s="20">
        <f>D225</f>
        <v>117</v>
      </c>
      <c r="V271" s="30">
        <f t="shared" ref="V271:W271" si="276">B225</f>
        <v>139</v>
      </c>
      <c r="W271" s="20">
        <f t="shared" si="276"/>
        <v>22</v>
      </c>
    </row>
    <row r="272" ht="18.75" customHeight="1">
      <c r="A272" s="21">
        <f t="shared" si="4"/>
        <v>45092</v>
      </c>
      <c r="B272" s="22">
        <f t="shared" si="5"/>
        <v>133</v>
      </c>
      <c r="C272" s="22">
        <f t="shared" si="6"/>
        <v>22</v>
      </c>
      <c r="D272" s="23">
        <f t="shared" si="7"/>
        <v>111</v>
      </c>
      <c r="E272" s="24">
        <f>'相関係数'!A272</f>
        <v>45092</v>
      </c>
      <c r="F272" s="25">
        <f>'相関係数'!B272</f>
        <v>133</v>
      </c>
      <c r="G272" s="25">
        <f>'相関係数'!C272</f>
        <v>22</v>
      </c>
      <c r="T272" s="29">
        <f>A224</f>
        <v>45162</v>
      </c>
      <c r="U272" s="20">
        <f>D224</f>
        <v>120</v>
      </c>
      <c r="V272" s="30">
        <f t="shared" ref="V272:W272" si="277">B224</f>
        <v>142</v>
      </c>
      <c r="W272" s="20">
        <f t="shared" si="277"/>
        <v>22</v>
      </c>
    </row>
    <row r="273" ht="18.75" customHeight="1">
      <c r="A273" s="21">
        <f t="shared" si="4"/>
        <v>45091</v>
      </c>
      <c r="B273" s="22">
        <f t="shared" si="5"/>
        <v>136</v>
      </c>
      <c r="C273" s="22">
        <f t="shared" si="6"/>
        <v>22</v>
      </c>
      <c r="D273" s="23">
        <f t="shared" si="7"/>
        <v>114</v>
      </c>
      <c r="E273" s="24">
        <f>'相関係数'!A273</f>
        <v>45091</v>
      </c>
      <c r="F273" s="25">
        <f>'相関係数'!B273</f>
        <v>136</v>
      </c>
      <c r="G273" s="25">
        <f>'相関係数'!C273</f>
        <v>22</v>
      </c>
      <c r="T273" s="29">
        <f>A223</f>
        <v>45163</v>
      </c>
      <c r="U273" s="20">
        <f>D223</f>
        <v>120</v>
      </c>
      <c r="V273" s="30">
        <f t="shared" ref="V273:W273" si="278">B223</f>
        <v>143</v>
      </c>
      <c r="W273" s="20">
        <f t="shared" si="278"/>
        <v>23</v>
      </c>
    </row>
    <row r="274" ht="18.75" customHeight="1">
      <c r="A274" s="21">
        <f t="shared" si="4"/>
        <v>45090</v>
      </c>
      <c r="B274" s="22">
        <f t="shared" si="5"/>
        <v>138</v>
      </c>
      <c r="C274" s="22">
        <f t="shared" si="6"/>
        <v>22</v>
      </c>
      <c r="D274" s="23">
        <f t="shared" si="7"/>
        <v>116</v>
      </c>
      <c r="E274" s="24">
        <f>'相関係数'!A274</f>
        <v>45090</v>
      </c>
      <c r="F274" s="25">
        <f>'相関係数'!B274</f>
        <v>138</v>
      </c>
      <c r="G274" s="25">
        <f>'相関係数'!C274</f>
        <v>22</v>
      </c>
      <c r="T274" s="29">
        <f>A222</f>
        <v>45166</v>
      </c>
      <c r="U274" s="20">
        <f>D222</f>
        <v>123</v>
      </c>
      <c r="V274" s="30">
        <f t="shared" ref="V274:W274" si="279">B222</f>
        <v>146</v>
      </c>
      <c r="W274" s="20">
        <f t="shared" si="279"/>
        <v>23</v>
      </c>
    </row>
    <row r="275" ht="18.75" customHeight="1">
      <c r="A275" s="21">
        <f t="shared" si="4"/>
        <v>45089</v>
      </c>
      <c r="B275" s="22">
        <f t="shared" si="5"/>
        <v>137</v>
      </c>
      <c r="C275" s="22">
        <f t="shared" si="6"/>
        <v>23</v>
      </c>
      <c r="D275" s="23">
        <f t="shared" si="7"/>
        <v>114</v>
      </c>
      <c r="E275" s="24">
        <f>'相関係数'!A275</f>
        <v>45089</v>
      </c>
      <c r="F275" s="25">
        <f>'相関係数'!B275</f>
        <v>137</v>
      </c>
      <c r="G275" s="25">
        <f>'相関係数'!C275</f>
        <v>23</v>
      </c>
      <c r="T275" s="29">
        <f>A221</f>
        <v>45167</v>
      </c>
      <c r="U275" s="20">
        <f>D221</f>
        <v>125</v>
      </c>
      <c r="V275" s="30">
        <f t="shared" ref="V275:W275" si="280">B221</f>
        <v>148</v>
      </c>
      <c r="W275" s="20">
        <f t="shared" si="280"/>
        <v>23</v>
      </c>
    </row>
    <row r="276" ht="18.75" customHeight="1">
      <c r="A276" s="21">
        <f t="shared" si="4"/>
        <v>45086</v>
      </c>
      <c r="B276" s="22">
        <f t="shared" si="5"/>
        <v>134</v>
      </c>
      <c r="C276" s="22">
        <f t="shared" si="6"/>
        <v>22</v>
      </c>
      <c r="D276" s="23">
        <f t="shared" si="7"/>
        <v>112</v>
      </c>
      <c r="E276" s="24">
        <f>'相関係数'!A276</f>
        <v>45086</v>
      </c>
      <c r="F276" s="25">
        <f>'相関係数'!B276</f>
        <v>134</v>
      </c>
      <c r="G276" s="25">
        <f>'相関係数'!C276</f>
        <v>22</v>
      </c>
      <c r="T276" s="29">
        <f>A220</f>
        <v>45168</v>
      </c>
      <c r="U276" s="20">
        <f>D220</f>
        <v>125</v>
      </c>
      <c r="V276" s="30">
        <f t="shared" ref="V276:W276" si="281">B220</f>
        <v>147</v>
      </c>
      <c r="W276" s="20">
        <f t="shared" si="281"/>
        <v>22</v>
      </c>
    </row>
    <row r="277" ht="18.75" customHeight="1">
      <c r="A277" s="21">
        <f t="shared" si="4"/>
        <v>45085</v>
      </c>
      <c r="B277" s="22">
        <f t="shared" si="5"/>
        <v>133</v>
      </c>
      <c r="C277" s="22">
        <f t="shared" si="6"/>
        <v>23</v>
      </c>
      <c r="D277" s="23">
        <f t="shared" si="7"/>
        <v>110</v>
      </c>
      <c r="E277" s="24">
        <f>'相関係数'!A277</f>
        <v>45085</v>
      </c>
      <c r="F277" s="25">
        <f>'相関係数'!B277</f>
        <v>133</v>
      </c>
      <c r="G277" s="25">
        <f>'相関係数'!C277</f>
        <v>23</v>
      </c>
      <c r="T277" s="29">
        <f>A219</f>
        <v>45169</v>
      </c>
      <c r="U277" s="20">
        <f>D219</f>
        <v>130</v>
      </c>
      <c r="V277" s="30">
        <f t="shared" ref="V277:W277" si="282">B219</f>
        <v>153</v>
      </c>
      <c r="W277" s="20">
        <f t="shared" si="282"/>
        <v>23</v>
      </c>
    </row>
    <row r="278" ht="18.75" customHeight="1">
      <c r="A278" s="21">
        <f t="shared" si="4"/>
        <v>45084</v>
      </c>
      <c r="B278" s="22">
        <f t="shared" si="5"/>
        <v>137</v>
      </c>
      <c r="C278" s="22">
        <f t="shared" si="6"/>
        <v>23</v>
      </c>
      <c r="D278" s="23">
        <f t="shared" si="7"/>
        <v>114</v>
      </c>
      <c r="E278" s="24">
        <f>'相関係数'!A278</f>
        <v>45084</v>
      </c>
      <c r="F278" s="25">
        <f>'相関係数'!B278</f>
        <v>137</v>
      </c>
      <c r="G278" s="25">
        <f>'相関係数'!C278</f>
        <v>23</v>
      </c>
      <c r="T278" s="29">
        <f>A218</f>
        <v>45170</v>
      </c>
      <c r="U278" s="20">
        <f>D218</f>
        <v>129</v>
      </c>
      <c r="V278" s="30">
        <f t="shared" ref="V278:W278" si="283">B218</f>
        <v>151</v>
      </c>
      <c r="W278" s="20">
        <f t="shared" si="283"/>
        <v>22</v>
      </c>
    </row>
    <row r="279" ht="18.75" customHeight="1">
      <c r="A279" s="21">
        <f t="shared" si="4"/>
        <v>45083</v>
      </c>
      <c r="B279" s="22">
        <f t="shared" si="5"/>
        <v>136</v>
      </c>
      <c r="C279" s="22">
        <f t="shared" si="6"/>
        <v>23</v>
      </c>
      <c r="D279" s="23">
        <f t="shared" si="7"/>
        <v>113</v>
      </c>
      <c r="E279" s="24">
        <f>'相関係数'!A279</f>
        <v>45083</v>
      </c>
      <c r="F279" s="25">
        <f>'相関係数'!B279</f>
        <v>136</v>
      </c>
      <c r="G279" s="25">
        <f>'相関係数'!C279</f>
        <v>23</v>
      </c>
      <c r="T279" s="29">
        <f>A217</f>
        <v>45173</v>
      </c>
      <c r="U279" s="20">
        <f>D217</f>
        <v>127</v>
      </c>
      <c r="V279" s="30">
        <f t="shared" ref="V279:W279" si="284">B217</f>
        <v>149</v>
      </c>
      <c r="W279" s="20">
        <f t="shared" si="284"/>
        <v>22</v>
      </c>
    </row>
    <row r="280" ht="18.75" customHeight="1">
      <c r="A280" s="21">
        <f t="shared" si="4"/>
        <v>45082</v>
      </c>
      <c r="B280" s="22">
        <f t="shared" si="5"/>
        <v>139</v>
      </c>
      <c r="C280" s="22">
        <f t="shared" si="6"/>
        <v>24</v>
      </c>
      <c r="D280" s="23">
        <f t="shared" si="7"/>
        <v>115</v>
      </c>
      <c r="E280" s="24">
        <f>'相関係数'!A280</f>
        <v>45082</v>
      </c>
      <c r="F280" s="25">
        <f>'相関係数'!B280</f>
        <v>139</v>
      </c>
      <c r="G280" s="25">
        <f>'相関係数'!C280</f>
        <v>24</v>
      </c>
      <c r="T280" s="29">
        <f>A216</f>
        <v>45174</v>
      </c>
      <c r="U280" s="20">
        <f>D216</f>
        <v>129</v>
      </c>
      <c r="V280" s="30">
        <f t="shared" ref="V280:W280" si="285">B216</f>
        <v>150</v>
      </c>
      <c r="W280" s="20">
        <f t="shared" si="285"/>
        <v>21</v>
      </c>
    </row>
    <row r="281" ht="18.75" customHeight="1">
      <c r="A281" s="21">
        <f t="shared" si="4"/>
        <v>45079</v>
      </c>
      <c r="B281" s="22">
        <f t="shared" si="5"/>
        <v>136</v>
      </c>
      <c r="C281" s="22">
        <f t="shared" si="6"/>
        <v>23</v>
      </c>
      <c r="D281" s="23">
        <f t="shared" si="7"/>
        <v>113</v>
      </c>
      <c r="E281" s="24">
        <f>'相関係数'!A281</f>
        <v>45079</v>
      </c>
      <c r="F281" s="25">
        <f>'相関係数'!B281</f>
        <v>136</v>
      </c>
      <c r="G281" s="25">
        <f>'相関係数'!C281</f>
        <v>23</v>
      </c>
      <c r="T281" s="29">
        <f>A215</f>
        <v>45175</v>
      </c>
      <c r="U281" s="20">
        <f>D215</f>
        <v>130</v>
      </c>
      <c r="V281" s="30">
        <f t="shared" ref="V281:W281" si="286">B215</f>
        <v>151</v>
      </c>
      <c r="W281" s="20">
        <f t="shared" si="286"/>
        <v>21</v>
      </c>
    </row>
    <row r="282" ht="18.75" customHeight="1">
      <c r="A282" s="21">
        <f t="shared" si="4"/>
        <v>45078</v>
      </c>
      <c r="B282" s="22">
        <f t="shared" si="5"/>
        <v>138</v>
      </c>
      <c r="C282" s="22">
        <f t="shared" si="6"/>
        <v>24</v>
      </c>
      <c r="D282" s="23">
        <f t="shared" si="7"/>
        <v>114</v>
      </c>
      <c r="E282" s="24">
        <f>'相関係数'!A282</f>
        <v>45078</v>
      </c>
      <c r="F282" s="25">
        <f>'相関係数'!B282</f>
        <v>138</v>
      </c>
      <c r="G282" s="25">
        <f>'相関係数'!C282</f>
        <v>24</v>
      </c>
      <c r="T282" s="29">
        <f>A214</f>
        <v>45176</v>
      </c>
      <c r="U282" s="20">
        <f>D214</f>
        <v>129</v>
      </c>
      <c r="V282" s="30">
        <f t="shared" ref="V282:W282" si="287">B214</f>
        <v>150</v>
      </c>
      <c r="W282" s="20">
        <f t="shared" si="287"/>
        <v>21</v>
      </c>
    </row>
    <row r="283" ht="18.75" customHeight="1">
      <c r="A283" s="21">
        <f t="shared" si="4"/>
        <v>45077</v>
      </c>
      <c r="B283" s="22">
        <f t="shared" si="5"/>
        <v>137</v>
      </c>
      <c r="C283" s="22">
        <f t="shared" si="6"/>
        <v>22</v>
      </c>
      <c r="D283" s="23">
        <f t="shared" si="7"/>
        <v>115</v>
      </c>
      <c r="E283" s="24">
        <f>'相関係数'!A283</f>
        <v>45077</v>
      </c>
      <c r="F283" s="25">
        <f>'相関係数'!B283</f>
        <v>137</v>
      </c>
      <c r="G283" s="25">
        <f>'相関係数'!C283</f>
        <v>22</v>
      </c>
      <c r="T283" s="29">
        <f>A213</f>
        <v>45177</v>
      </c>
      <c r="U283" s="20">
        <f>D213</f>
        <v>125</v>
      </c>
      <c r="V283" s="30">
        <f t="shared" ref="V283:W283" si="288">B213</f>
        <v>147</v>
      </c>
      <c r="W283" s="20">
        <f t="shared" si="288"/>
        <v>22</v>
      </c>
    </row>
    <row r="284" ht="18.75" customHeight="1">
      <c r="A284" s="21">
        <f t="shared" si="4"/>
        <v>45076</v>
      </c>
      <c r="B284" s="22">
        <f t="shared" si="5"/>
        <v>139</v>
      </c>
      <c r="C284" s="22">
        <f t="shared" si="6"/>
        <v>23</v>
      </c>
      <c r="D284" s="23">
        <f t="shared" si="7"/>
        <v>116</v>
      </c>
      <c r="E284" s="24">
        <f>'相関係数'!A284</f>
        <v>45076</v>
      </c>
      <c r="F284" s="25">
        <f>'相関係数'!B284</f>
        <v>139</v>
      </c>
      <c r="G284" s="25">
        <f>'相関係数'!C284</f>
        <v>23</v>
      </c>
      <c r="T284" s="29">
        <f>A212</f>
        <v>45180</v>
      </c>
      <c r="U284" s="20">
        <f>D212</f>
        <v>122</v>
      </c>
      <c r="V284" s="30">
        <f t="shared" ref="V284:W284" si="289">B212</f>
        <v>144</v>
      </c>
      <c r="W284" s="20">
        <f t="shared" si="289"/>
        <v>22</v>
      </c>
    </row>
    <row r="285" ht="18.75" customHeight="1">
      <c r="A285" s="21">
        <f t="shared" si="4"/>
        <v>45075</v>
      </c>
      <c r="B285" s="22">
        <f t="shared" si="5"/>
        <v>136</v>
      </c>
      <c r="C285" s="22">
        <f t="shared" si="6"/>
        <v>24</v>
      </c>
      <c r="D285" s="23">
        <f t="shared" si="7"/>
        <v>112</v>
      </c>
      <c r="E285" s="24">
        <f>'相関係数'!A285</f>
        <v>45075</v>
      </c>
      <c r="F285" s="25">
        <f>'相関係数'!B285</f>
        <v>136</v>
      </c>
      <c r="G285" s="25">
        <f>'相関係数'!C285</f>
        <v>24</v>
      </c>
      <c r="T285" s="29">
        <f>A211</f>
        <v>45181</v>
      </c>
      <c r="U285" s="20">
        <f>D211</f>
        <v>127</v>
      </c>
      <c r="V285" s="30">
        <f t="shared" ref="V285:W285" si="290">B211</f>
        <v>147</v>
      </c>
      <c r="W285" s="20">
        <f t="shared" si="290"/>
        <v>20</v>
      </c>
    </row>
    <row r="286" ht="18.75" customHeight="1">
      <c r="A286" s="21">
        <f t="shared" si="4"/>
        <v>45072</v>
      </c>
      <c r="B286" s="22">
        <f t="shared" si="5"/>
        <v>129</v>
      </c>
      <c r="C286" s="22">
        <f t="shared" si="6"/>
        <v>25</v>
      </c>
      <c r="D286" s="23">
        <f t="shared" si="7"/>
        <v>104</v>
      </c>
      <c r="E286" s="24">
        <f>'相関係数'!A286</f>
        <v>45072</v>
      </c>
      <c r="F286" s="25">
        <f>'相関係数'!B286</f>
        <v>129</v>
      </c>
      <c r="G286" s="25">
        <f>'相関係数'!C286</f>
        <v>25</v>
      </c>
      <c r="T286" s="29">
        <f>A210</f>
        <v>45182</v>
      </c>
      <c r="U286" s="20">
        <f>D210</f>
        <v>125</v>
      </c>
      <c r="V286" s="30">
        <f t="shared" ref="V286:W286" si="291">B210</f>
        <v>146</v>
      </c>
      <c r="W286" s="20">
        <f t="shared" si="291"/>
        <v>21</v>
      </c>
    </row>
    <row r="287" ht="18.75" customHeight="1">
      <c r="A287" s="21">
        <f t="shared" si="4"/>
        <v>45071</v>
      </c>
      <c r="B287" s="22">
        <f t="shared" si="5"/>
        <v>131</v>
      </c>
      <c r="C287" s="22">
        <f t="shared" si="6"/>
        <v>26</v>
      </c>
      <c r="D287" s="23">
        <f t="shared" si="7"/>
        <v>105</v>
      </c>
      <c r="E287" s="24">
        <f>'相関係数'!A287</f>
        <v>45071</v>
      </c>
      <c r="F287" s="25">
        <f>'相関係数'!B287</f>
        <v>131</v>
      </c>
      <c r="G287" s="25">
        <f>'相関係数'!C287</f>
        <v>26</v>
      </c>
      <c r="T287" s="29">
        <f>A209</f>
        <v>45183</v>
      </c>
      <c r="U287" s="20">
        <f>D209</f>
        <v>125</v>
      </c>
      <c r="V287" s="30">
        <f t="shared" ref="V287:W287" si="292">B209</f>
        <v>146</v>
      </c>
      <c r="W287" s="20">
        <f t="shared" si="292"/>
        <v>21</v>
      </c>
    </row>
    <row r="288" ht="18.75" customHeight="1">
      <c r="A288" s="21">
        <f t="shared" si="4"/>
        <v>45070</v>
      </c>
      <c r="B288" s="22">
        <f t="shared" si="5"/>
        <v>132</v>
      </c>
      <c r="C288" s="22">
        <f t="shared" si="6"/>
        <v>26</v>
      </c>
      <c r="D288" s="23">
        <f t="shared" si="7"/>
        <v>106</v>
      </c>
      <c r="E288" s="24">
        <f>'相関係数'!A288</f>
        <v>45070</v>
      </c>
      <c r="F288" s="25">
        <f>'相関係数'!B288</f>
        <v>132</v>
      </c>
      <c r="G288" s="25">
        <f>'相関係数'!C288</f>
        <v>26</v>
      </c>
      <c r="T288" s="29">
        <f>A208</f>
        <v>45184</v>
      </c>
      <c r="U288" s="20">
        <f>D208</f>
        <v>124</v>
      </c>
      <c r="V288" s="30">
        <f t="shared" ref="V288:W288" si="293">B208</f>
        <v>145</v>
      </c>
      <c r="W288" s="20">
        <f t="shared" si="293"/>
        <v>21</v>
      </c>
    </row>
    <row r="289" ht="18.75" customHeight="1">
      <c r="A289" s="21">
        <f t="shared" si="4"/>
        <v>45069</v>
      </c>
      <c r="B289" s="22">
        <f t="shared" si="5"/>
        <v>131</v>
      </c>
      <c r="C289" s="22">
        <f t="shared" si="6"/>
        <v>26</v>
      </c>
      <c r="D289" s="23">
        <f t="shared" si="7"/>
        <v>105</v>
      </c>
      <c r="E289" s="24">
        <f>'相関係数'!A289</f>
        <v>45069</v>
      </c>
      <c r="F289" s="25">
        <f>'相関係数'!B289</f>
        <v>131</v>
      </c>
      <c r="G289" s="25">
        <f>'相関係数'!C289</f>
        <v>26</v>
      </c>
      <c r="T289" s="29">
        <f>A207</f>
        <v>45188</v>
      </c>
      <c r="U289" s="20">
        <f>D207</f>
        <v>123</v>
      </c>
      <c r="V289" s="30">
        <f t="shared" ref="V289:W289" si="294">B207</f>
        <v>144</v>
      </c>
      <c r="W289" s="20">
        <f t="shared" si="294"/>
        <v>21</v>
      </c>
    </row>
    <row r="290" ht="18.75" customHeight="1">
      <c r="A290" s="21">
        <f t="shared" si="4"/>
        <v>45068</v>
      </c>
      <c r="B290" s="22">
        <f t="shared" si="5"/>
        <v>133</v>
      </c>
      <c r="C290" s="22">
        <f t="shared" si="6"/>
        <v>24</v>
      </c>
      <c r="D290" s="23">
        <f t="shared" si="7"/>
        <v>109</v>
      </c>
      <c r="E290" s="24">
        <f>'相関係数'!A290</f>
        <v>45068</v>
      </c>
      <c r="F290" s="25">
        <f>'相関係数'!B290</f>
        <v>133</v>
      </c>
      <c r="G290" s="25">
        <f>'相関係数'!C290</f>
        <v>24</v>
      </c>
      <c r="T290" s="29">
        <f>A206</f>
        <v>45189</v>
      </c>
      <c r="U290" s="20">
        <f>D206</f>
        <v>125</v>
      </c>
      <c r="V290" s="30">
        <f t="shared" ref="V290:W290" si="295">B206</f>
        <v>146</v>
      </c>
      <c r="W290" s="20">
        <f t="shared" si="295"/>
        <v>21</v>
      </c>
    </row>
    <row r="291" ht="18.75" customHeight="1">
      <c r="A291" s="21">
        <f t="shared" si="4"/>
        <v>45065</v>
      </c>
      <c r="B291" s="22">
        <f t="shared" si="5"/>
        <v>131</v>
      </c>
      <c r="C291" s="22">
        <f t="shared" si="6"/>
        <v>26</v>
      </c>
      <c r="D291" s="23">
        <f t="shared" si="7"/>
        <v>105</v>
      </c>
      <c r="E291" s="24">
        <f>'相関係数'!A291</f>
        <v>45065</v>
      </c>
      <c r="F291" s="25">
        <f>'相関係数'!B291</f>
        <v>131</v>
      </c>
      <c r="G291" s="25">
        <f>'相関係数'!C291</f>
        <v>26</v>
      </c>
      <c r="T291" s="29">
        <f>A205</f>
        <v>45190</v>
      </c>
      <c r="U291" s="20">
        <f>D205</f>
        <v>121</v>
      </c>
      <c r="V291" s="30">
        <f t="shared" ref="V291:W291" si="296">B205</f>
        <v>141</v>
      </c>
      <c r="W291" s="20">
        <f t="shared" si="296"/>
        <v>20</v>
      </c>
    </row>
    <row r="292" ht="18.75" customHeight="1">
      <c r="A292" s="21">
        <f t="shared" si="4"/>
        <v>45064</v>
      </c>
      <c r="B292" s="22">
        <f t="shared" si="5"/>
        <v>132</v>
      </c>
      <c r="C292" s="22">
        <f t="shared" si="6"/>
        <v>25</v>
      </c>
      <c r="D292" s="23">
        <f t="shared" si="7"/>
        <v>107</v>
      </c>
      <c r="E292" s="24">
        <f>'相関係数'!A292</f>
        <v>45064</v>
      </c>
      <c r="F292" s="25">
        <f>'相関係数'!B292</f>
        <v>132</v>
      </c>
      <c r="G292" s="25">
        <f>'相関係数'!C292</f>
        <v>25</v>
      </c>
      <c r="T292" s="29">
        <f>A204</f>
        <v>45191</v>
      </c>
      <c r="U292" s="20">
        <f>D204</f>
        <v>122</v>
      </c>
      <c r="V292" s="30">
        <f t="shared" ref="V292:W292" si="297">B204</f>
        <v>142</v>
      </c>
      <c r="W292" s="20">
        <f t="shared" si="297"/>
        <v>20</v>
      </c>
    </row>
    <row r="293" ht="18.75" customHeight="1">
      <c r="A293" s="21">
        <f t="shared" si="4"/>
        <v>45063</v>
      </c>
      <c r="B293" s="22">
        <f t="shared" si="5"/>
        <v>135</v>
      </c>
      <c r="C293" s="22">
        <f t="shared" si="6"/>
        <v>26</v>
      </c>
      <c r="D293" s="23">
        <f t="shared" si="7"/>
        <v>109</v>
      </c>
      <c r="E293" s="24">
        <f>'相関係数'!A293</f>
        <v>45063</v>
      </c>
      <c r="F293" s="25">
        <f>'相関係数'!B293</f>
        <v>135</v>
      </c>
      <c r="G293" s="25">
        <f>'相関係数'!C293</f>
        <v>26</v>
      </c>
      <c r="T293" s="29">
        <f>A203</f>
        <v>45194</v>
      </c>
      <c r="U293" s="20">
        <f>D203</f>
        <v>125</v>
      </c>
      <c r="V293" s="30">
        <f t="shared" ref="V293:W293" si="298">B203</f>
        <v>145</v>
      </c>
      <c r="W293" s="20">
        <f t="shared" si="298"/>
        <v>20</v>
      </c>
    </row>
    <row r="294" ht="18.75" customHeight="1">
      <c r="A294" s="21">
        <f t="shared" si="4"/>
        <v>45062</v>
      </c>
      <c r="B294" s="22">
        <f t="shared" si="5"/>
        <v>134</v>
      </c>
      <c r="C294" s="22">
        <f t="shared" si="6"/>
        <v>24</v>
      </c>
      <c r="D294" s="23">
        <f t="shared" si="7"/>
        <v>110</v>
      </c>
      <c r="E294" s="24">
        <f>'相関係数'!A294</f>
        <v>45062</v>
      </c>
      <c r="F294" s="25">
        <f>'相関係数'!B294</f>
        <v>134</v>
      </c>
      <c r="G294" s="25">
        <f>'相関係数'!C294</f>
        <v>24</v>
      </c>
      <c r="T294" s="29">
        <f>A202</f>
        <v>45195</v>
      </c>
      <c r="U294" s="20">
        <f>D202</f>
        <v>122</v>
      </c>
      <c r="V294" s="30">
        <f t="shared" ref="V294:W294" si="299">B202</f>
        <v>142</v>
      </c>
      <c r="W294" s="20">
        <f t="shared" si="299"/>
        <v>20</v>
      </c>
    </row>
    <row r="295" ht="18.75" customHeight="1">
      <c r="A295" s="21">
        <f t="shared" si="4"/>
        <v>45061</v>
      </c>
      <c r="B295" s="22">
        <f t="shared" si="5"/>
        <v>136</v>
      </c>
      <c r="C295" s="22">
        <f t="shared" si="6"/>
        <v>26</v>
      </c>
      <c r="D295" s="23">
        <f t="shared" si="7"/>
        <v>110</v>
      </c>
      <c r="E295" s="24">
        <f>'相関係数'!A295</f>
        <v>45061</v>
      </c>
      <c r="F295" s="25">
        <f>'相関係数'!B295</f>
        <v>136</v>
      </c>
      <c r="G295" s="25">
        <f>'相関係数'!C295</f>
        <v>26</v>
      </c>
      <c r="T295" s="29">
        <f>A201</f>
        <v>45196</v>
      </c>
      <c r="U295" s="20">
        <f>D201</f>
        <v>123</v>
      </c>
      <c r="V295" s="30">
        <f t="shared" ref="V295:W295" si="300">B201</f>
        <v>142</v>
      </c>
      <c r="W295" s="20">
        <f t="shared" si="300"/>
        <v>19</v>
      </c>
    </row>
    <row r="296" ht="18.75" customHeight="1">
      <c r="A296" s="21">
        <f t="shared" si="4"/>
        <v>45058</v>
      </c>
      <c r="B296" s="22">
        <f t="shared" si="5"/>
        <v>138</v>
      </c>
      <c r="C296" s="22">
        <f t="shared" si="6"/>
        <v>26</v>
      </c>
      <c r="D296" s="23">
        <f t="shared" si="7"/>
        <v>112</v>
      </c>
      <c r="E296" s="24">
        <f>'相関係数'!A296</f>
        <v>45058</v>
      </c>
      <c r="F296" s="25">
        <f>'相関係数'!B296</f>
        <v>138</v>
      </c>
      <c r="G296" s="25">
        <f>'相関係数'!C296</f>
        <v>26</v>
      </c>
      <c r="T296" s="29">
        <f>A200</f>
        <v>45197</v>
      </c>
      <c r="U296" s="20">
        <f>D200</f>
        <v>123</v>
      </c>
      <c r="V296" s="30">
        <f t="shared" ref="V296:W296" si="301">B200</f>
        <v>142</v>
      </c>
      <c r="W296" s="20">
        <f t="shared" si="301"/>
        <v>19</v>
      </c>
    </row>
    <row r="297" ht="18.75" customHeight="1">
      <c r="A297" s="21">
        <f t="shared" si="4"/>
        <v>45057</v>
      </c>
      <c r="B297" s="22">
        <f t="shared" si="5"/>
        <v>139</v>
      </c>
      <c r="C297" s="22">
        <f t="shared" si="6"/>
        <v>28</v>
      </c>
      <c r="D297" s="23">
        <f t="shared" si="7"/>
        <v>111</v>
      </c>
      <c r="E297" s="24">
        <f>'相関係数'!A297</f>
        <v>45057</v>
      </c>
      <c r="F297" s="25">
        <f>'相関係数'!B297</f>
        <v>139</v>
      </c>
      <c r="G297" s="25">
        <f>'相関係数'!C297</f>
        <v>28</v>
      </c>
      <c r="T297" s="29">
        <f>A199</f>
        <v>45198</v>
      </c>
      <c r="U297" s="20">
        <f>D199</f>
        <v>123</v>
      </c>
      <c r="V297" s="30">
        <f t="shared" ref="V297:W297" si="302">B199</f>
        <v>142</v>
      </c>
      <c r="W297" s="20">
        <f t="shared" si="302"/>
        <v>19</v>
      </c>
    </row>
    <row r="298" ht="18.75" customHeight="1">
      <c r="A298" s="21">
        <f t="shared" si="4"/>
        <v>45056</v>
      </c>
      <c r="B298" s="22">
        <f t="shared" si="5"/>
        <v>139</v>
      </c>
      <c r="C298" s="22">
        <f t="shared" si="6"/>
        <v>28</v>
      </c>
      <c r="D298" s="23">
        <f t="shared" si="7"/>
        <v>111</v>
      </c>
      <c r="E298" s="24">
        <f>'相関係数'!A298</f>
        <v>45056</v>
      </c>
      <c r="F298" s="25">
        <f>'相関係数'!B298</f>
        <v>139</v>
      </c>
      <c r="G298" s="25">
        <f>'相関係数'!C298</f>
        <v>28</v>
      </c>
      <c r="T298" s="29">
        <f>A198</f>
        <v>45201</v>
      </c>
      <c r="U298" s="20">
        <f>D198</f>
        <v>119</v>
      </c>
      <c r="V298" s="30">
        <f t="shared" ref="V298:W298" si="303">B198</f>
        <v>138</v>
      </c>
      <c r="W298" s="20">
        <f t="shared" si="303"/>
        <v>19</v>
      </c>
    </row>
    <row r="299" ht="18.75" customHeight="1">
      <c r="A299" s="21">
        <f t="shared" si="4"/>
        <v>45055</v>
      </c>
      <c r="B299" s="22">
        <f t="shared" si="5"/>
        <v>141</v>
      </c>
      <c r="C299" s="22">
        <f t="shared" si="6"/>
        <v>29</v>
      </c>
      <c r="D299" s="23">
        <f t="shared" si="7"/>
        <v>112</v>
      </c>
      <c r="E299" s="24">
        <f>'相関係数'!A299</f>
        <v>45055</v>
      </c>
      <c r="F299" s="25">
        <f>'相関係数'!B299</f>
        <v>141</v>
      </c>
      <c r="G299" s="25">
        <f>'相関係数'!C299</f>
        <v>29</v>
      </c>
      <c r="T299" s="29">
        <f>A197</f>
        <v>45202</v>
      </c>
      <c r="U299" s="20">
        <f>D197</f>
        <v>117</v>
      </c>
      <c r="V299" s="30">
        <f t="shared" ref="V299:W299" si="304">B197</f>
        <v>136</v>
      </c>
      <c r="W299" s="20">
        <f t="shared" si="304"/>
        <v>19</v>
      </c>
    </row>
    <row r="300" ht="18.75" customHeight="1">
      <c r="A300" s="21">
        <f t="shared" si="4"/>
        <v>45054</v>
      </c>
      <c r="B300" s="22">
        <f t="shared" si="5"/>
        <v>143</v>
      </c>
      <c r="C300" s="22">
        <f t="shared" si="6"/>
        <v>29</v>
      </c>
      <c r="D300" s="23">
        <f t="shared" si="7"/>
        <v>114</v>
      </c>
      <c r="E300" s="24">
        <f>'相関係数'!A300</f>
        <v>45054</v>
      </c>
      <c r="F300" s="25">
        <f>'相関係数'!B300</f>
        <v>143</v>
      </c>
      <c r="G300" s="25">
        <f>'相関係数'!C300</f>
        <v>29</v>
      </c>
      <c r="T300" s="29">
        <f>A196</f>
        <v>45203</v>
      </c>
      <c r="U300" s="20">
        <f>D196</f>
        <v>114</v>
      </c>
      <c r="V300" s="30">
        <f t="shared" ref="V300:W300" si="305">B196</f>
        <v>133</v>
      </c>
      <c r="W300" s="20">
        <f t="shared" si="305"/>
        <v>19</v>
      </c>
    </row>
    <row r="301" ht="18.75" customHeight="1">
      <c r="A301" s="21">
        <f t="shared" si="4"/>
        <v>45048</v>
      </c>
      <c r="B301" s="22">
        <f t="shared" si="5"/>
        <v>146</v>
      </c>
      <c r="C301" s="22">
        <f t="shared" si="6"/>
        <v>30</v>
      </c>
      <c r="D301" s="23">
        <f t="shared" si="7"/>
        <v>116</v>
      </c>
      <c r="E301" s="24">
        <f>'相関係数'!A301</f>
        <v>45048</v>
      </c>
      <c r="F301" s="25">
        <f>'相関係数'!B301</f>
        <v>146</v>
      </c>
      <c r="G301" s="25">
        <f>'相関係数'!C301</f>
        <v>30</v>
      </c>
      <c r="T301" s="29">
        <f>A195</f>
        <v>45204</v>
      </c>
      <c r="U301" s="20">
        <f>D195</f>
        <v>115</v>
      </c>
      <c r="V301" s="30">
        <f t="shared" ref="V301:W301" si="306">B195</f>
        <v>135</v>
      </c>
      <c r="W301" s="20">
        <f t="shared" si="306"/>
        <v>20</v>
      </c>
    </row>
    <row r="302" ht="18.75" customHeight="1">
      <c r="A302" s="21">
        <f t="shared" si="4"/>
        <v>45047</v>
      </c>
      <c r="B302" s="22">
        <f t="shared" si="5"/>
        <v>145</v>
      </c>
      <c r="C302" s="22">
        <f t="shared" si="6"/>
        <v>29</v>
      </c>
      <c r="D302" s="23">
        <f t="shared" si="7"/>
        <v>116</v>
      </c>
      <c r="E302" s="24">
        <f>'相関係数'!A302</f>
        <v>45047</v>
      </c>
      <c r="F302" s="25">
        <f>'相関係数'!B302</f>
        <v>145</v>
      </c>
      <c r="G302" s="25">
        <f>'相関係数'!C302</f>
        <v>29</v>
      </c>
      <c r="T302" s="29">
        <f>A194</f>
        <v>45205</v>
      </c>
      <c r="U302" s="20">
        <f>D194</f>
        <v>117</v>
      </c>
      <c r="V302" s="30">
        <f t="shared" ref="V302:W302" si="307">B194</f>
        <v>136</v>
      </c>
      <c r="W302" s="20">
        <f t="shared" si="307"/>
        <v>19</v>
      </c>
    </row>
    <row r="303" ht="18.75" customHeight="1">
      <c r="A303" s="21">
        <f t="shared" si="4"/>
        <v>45044</v>
      </c>
      <c r="B303" s="22">
        <f t="shared" si="5"/>
        <v>142</v>
      </c>
      <c r="C303" s="22">
        <f t="shared" si="6"/>
        <v>29</v>
      </c>
      <c r="D303" s="23">
        <f t="shared" si="7"/>
        <v>113</v>
      </c>
      <c r="E303" s="24">
        <f>'相関係数'!A303</f>
        <v>45044</v>
      </c>
      <c r="F303" s="25">
        <f>'相関係数'!B303</f>
        <v>142</v>
      </c>
      <c r="G303" s="25">
        <f>'相関係数'!C303</f>
        <v>29</v>
      </c>
      <c r="T303" s="29">
        <f>A193</f>
        <v>45209</v>
      </c>
      <c r="U303" s="20">
        <f>D193</f>
        <v>119</v>
      </c>
      <c r="V303" s="30">
        <f t="shared" ref="V303:W303" si="308">B193</f>
        <v>138</v>
      </c>
      <c r="W303" s="20">
        <f t="shared" si="308"/>
        <v>19</v>
      </c>
    </row>
    <row r="304" ht="18.75" customHeight="1">
      <c r="A304" s="21">
        <f t="shared" si="4"/>
        <v>45043</v>
      </c>
      <c r="B304" s="22">
        <f t="shared" si="5"/>
        <v>141</v>
      </c>
      <c r="C304" s="22">
        <f t="shared" si="6"/>
        <v>31</v>
      </c>
      <c r="D304" s="23">
        <f t="shared" si="7"/>
        <v>110</v>
      </c>
      <c r="E304" s="24">
        <f>'相関係数'!A304</f>
        <v>45043</v>
      </c>
      <c r="F304" s="25">
        <f>'相関係数'!B304</f>
        <v>141</v>
      </c>
      <c r="G304" s="25">
        <f>'相関係数'!C304</f>
        <v>31</v>
      </c>
      <c r="T304" s="29">
        <f>A192</f>
        <v>45210</v>
      </c>
      <c r="U304" s="20">
        <f>D192</f>
        <v>119</v>
      </c>
      <c r="V304" s="30">
        <f t="shared" ref="V304:W304" si="309">B192</f>
        <v>138</v>
      </c>
      <c r="W304" s="20">
        <f t="shared" si="309"/>
        <v>19</v>
      </c>
    </row>
    <row r="305" ht="18.75" customHeight="1">
      <c r="A305" s="21">
        <f t="shared" si="4"/>
        <v>45042</v>
      </c>
      <c r="B305" s="22">
        <f t="shared" si="5"/>
        <v>141</v>
      </c>
      <c r="C305" s="22">
        <f t="shared" si="6"/>
        <v>31</v>
      </c>
      <c r="D305" s="23">
        <f t="shared" si="7"/>
        <v>110</v>
      </c>
      <c r="E305" s="24">
        <f>'相関係数'!A305</f>
        <v>45042</v>
      </c>
      <c r="F305" s="25">
        <f>'相関係数'!B305</f>
        <v>141</v>
      </c>
      <c r="G305" s="25">
        <f>'相関係数'!C305</f>
        <v>31</v>
      </c>
      <c r="T305" s="29">
        <f>A191</f>
        <v>45211</v>
      </c>
      <c r="U305" s="20">
        <f>D191</f>
        <v>116</v>
      </c>
      <c r="V305" s="30">
        <f t="shared" ref="V305:W305" si="310">B191</f>
        <v>135</v>
      </c>
      <c r="W305" s="20">
        <f t="shared" si="310"/>
        <v>19</v>
      </c>
    </row>
    <row r="306" ht="18.75" customHeight="1">
      <c r="A306" s="21">
        <f t="shared" si="4"/>
        <v>45041</v>
      </c>
      <c r="B306" s="22">
        <f t="shared" si="5"/>
        <v>142</v>
      </c>
      <c r="C306" s="22">
        <f t="shared" si="6"/>
        <v>31</v>
      </c>
      <c r="D306" s="23">
        <f t="shared" si="7"/>
        <v>111</v>
      </c>
      <c r="E306" s="24">
        <f>'相関係数'!A306</f>
        <v>45041</v>
      </c>
      <c r="F306" s="25">
        <f>'相関係数'!B306</f>
        <v>142</v>
      </c>
      <c r="G306" s="25">
        <f>'相関係数'!C306</f>
        <v>31</v>
      </c>
      <c r="T306" s="29">
        <f>A190</f>
        <v>45212</v>
      </c>
      <c r="U306" s="20">
        <f>D190</f>
        <v>115</v>
      </c>
      <c r="V306" s="30">
        <f t="shared" ref="V306:W306" si="311">B190</f>
        <v>134</v>
      </c>
      <c r="W306" s="20">
        <f t="shared" si="311"/>
        <v>19</v>
      </c>
    </row>
    <row r="307" ht="18.75" customHeight="1">
      <c r="A307" s="21">
        <f t="shared" si="4"/>
        <v>45040</v>
      </c>
      <c r="B307" s="22">
        <f t="shared" si="5"/>
        <v>144</v>
      </c>
      <c r="C307" s="22">
        <f t="shared" si="6"/>
        <v>32</v>
      </c>
      <c r="D307" s="23">
        <f t="shared" si="7"/>
        <v>112</v>
      </c>
      <c r="E307" s="24">
        <f>'相関係数'!A307</f>
        <v>45040</v>
      </c>
      <c r="F307" s="25">
        <f>'相関係数'!B307</f>
        <v>144</v>
      </c>
      <c r="G307" s="25">
        <f>'相関係数'!C307</f>
        <v>32</v>
      </c>
      <c r="T307" s="29">
        <f>A189</f>
        <v>45215</v>
      </c>
      <c r="U307" s="20">
        <f>D189</f>
        <v>113</v>
      </c>
      <c r="V307" s="30">
        <f t="shared" ref="V307:W307" si="312">B189</f>
        <v>132</v>
      </c>
      <c r="W307" s="20">
        <f t="shared" si="312"/>
        <v>19</v>
      </c>
    </row>
    <row r="308" ht="18.75" customHeight="1">
      <c r="A308" s="21">
        <f t="shared" si="4"/>
        <v>45037</v>
      </c>
      <c r="B308" s="22">
        <f t="shared" si="5"/>
        <v>145</v>
      </c>
      <c r="C308" s="22">
        <f t="shared" si="6"/>
        <v>31</v>
      </c>
      <c r="D308" s="23">
        <f t="shared" si="7"/>
        <v>114</v>
      </c>
      <c r="E308" s="24">
        <f>'相関係数'!A308</f>
        <v>45037</v>
      </c>
      <c r="F308" s="25">
        <f>'相関係数'!B308</f>
        <v>145</v>
      </c>
      <c r="G308" s="25">
        <f>'相関係数'!C308</f>
        <v>31</v>
      </c>
      <c r="T308" s="29">
        <f>A188</f>
        <v>45216</v>
      </c>
      <c r="U308" s="20">
        <f>D188</f>
        <v>112</v>
      </c>
      <c r="V308" s="30">
        <f t="shared" ref="V308:W308" si="313">B188</f>
        <v>132</v>
      </c>
      <c r="W308" s="20">
        <f t="shared" si="313"/>
        <v>20</v>
      </c>
    </row>
    <row r="309" ht="18.75" customHeight="1">
      <c r="A309" s="21">
        <f t="shared" si="4"/>
        <v>45036</v>
      </c>
      <c r="B309" s="22">
        <f t="shared" si="5"/>
        <v>146</v>
      </c>
      <c r="C309" s="22">
        <f t="shared" si="6"/>
        <v>32</v>
      </c>
      <c r="D309" s="23">
        <f t="shared" si="7"/>
        <v>114</v>
      </c>
      <c r="E309" s="24">
        <f>'相関係数'!A309</f>
        <v>45036</v>
      </c>
      <c r="F309" s="25">
        <f>'相関係数'!B309</f>
        <v>146</v>
      </c>
      <c r="G309" s="25">
        <f>'相関係数'!C309</f>
        <v>32</v>
      </c>
      <c r="T309" s="29">
        <f>A187</f>
        <v>45217</v>
      </c>
      <c r="U309" s="20">
        <f>D187</f>
        <v>114</v>
      </c>
      <c r="V309" s="30">
        <f t="shared" ref="V309:W309" si="314">B187</f>
        <v>133</v>
      </c>
      <c r="W309" s="20">
        <f t="shared" si="314"/>
        <v>19</v>
      </c>
    </row>
    <row r="310" ht="18.75" customHeight="1">
      <c r="A310" s="21">
        <f t="shared" si="4"/>
        <v>45035</v>
      </c>
      <c r="B310" s="22">
        <f t="shared" si="5"/>
        <v>148</v>
      </c>
      <c r="C310" s="22">
        <f t="shared" si="6"/>
        <v>31</v>
      </c>
      <c r="D310" s="23">
        <f t="shared" si="7"/>
        <v>117</v>
      </c>
      <c r="E310" s="24">
        <f>'相関係数'!A310</f>
        <v>45035</v>
      </c>
      <c r="F310" s="25">
        <f>'相関係数'!B310</f>
        <v>148</v>
      </c>
      <c r="G310" s="25">
        <f>'相関係数'!C310</f>
        <v>31</v>
      </c>
      <c r="T310" s="29">
        <f>A186</f>
        <v>45218</v>
      </c>
      <c r="U310" s="20">
        <f>D186</f>
        <v>115</v>
      </c>
      <c r="V310" s="30">
        <f t="shared" ref="V310:W310" si="315">B186</f>
        <v>134</v>
      </c>
      <c r="W310" s="20">
        <f t="shared" si="315"/>
        <v>19</v>
      </c>
    </row>
    <row r="311" ht="18.75" customHeight="1">
      <c r="A311" s="21">
        <f t="shared" si="4"/>
        <v>45034</v>
      </c>
      <c r="B311" s="22">
        <f t="shared" si="5"/>
        <v>146</v>
      </c>
      <c r="C311" s="22">
        <f t="shared" si="6"/>
        <v>31</v>
      </c>
      <c r="D311" s="23">
        <f t="shared" si="7"/>
        <v>115</v>
      </c>
      <c r="E311" s="24">
        <f>'相関係数'!A311</f>
        <v>45034</v>
      </c>
      <c r="F311" s="25">
        <f>'相関係数'!B311</f>
        <v>146</v>
      </c>
      <c r="G311" s="25">
        <f>'相関係数'!C311</f>
        <v>31</v>
      </c>
      <c r="T311" s="29">
        <f>A185</f>
        <v>45219</v>
      </c>
      <c r="U311" s="20">
        <f>D185</f>
        <v>114</v>
      </c>
      <c r="V311" s="30">
        <f t="shared" ref="V311:W311" si="316">B185</f>
        <v>133</v>
      </c>
      <c r="W311" s="20">
        <f t="shared" si="316"/>
        <v>19</v>
      </c>
    </row>
    <row r="312" ht="18.75" customHeight="1">
      <c r="A312" s="21">
        <f t="shared" si="4"/>
        <v>45033</v>
      </c>
      <c r="B312" s="22">
        <f t="shared" si="5"/>
        <v>144</v>
      </c>
      <c r="C312" s="22">
        <f t="shared" si="6"/>
        <v>31</v>
      </c>
      <c r="D312" s="23">
        <f t="shared" si="7"/>
        <v>113</v>
      </c>
      <c r="E312" s="24">
        <f>'相関係数'!A312</f>
        <v>45033</v>
      </c>
      <c r="F312" s="25">
        <f>'相関係数'!B312</f>
        <v>144</v>
      </c>
      <c r="G312" s="25">
        <f>'相関係数'!C312</f>
        <v>31</v>
      </c>
      <c r="T312" s="29">
        <f>A184</f>
        <v>45222</v>
      </c>
      <c r="U312" s="20">
        <f>D184</f>
        <v>110</v>
      </c>
      <c r="V312" s="30">
        <f t="shared" ref="V312:W312" si="317">B184</f>
        <v>129</v>
      </c>
      <c r="W312" s="20">
        <f t="shared" si="317"/>
        <v>19</v>
      </c>
    </row>
    <row r="313" ht="18.75" customHeight="1">
      <c r="A313" s="21">
        <f t="shared" si="4"/>
        <v>45030</v>
      </c>
      <c r="B313" s="22">
        <f t="shared" si="5"/>
        <v>148</v>
      </c>
      <c r="C313" s="22">
        <f t="shared" si="6"/>
        <v>31</v>
      </c>
      <c r="D313" s="23">
        <f t="shared" si="7"/>
        <v>117</v>
      </c>
      <c r="E313" s="24">
        <f>'相関係数'!A313</f>
        <v>45030</v>
      </c>
      <c r="F313" s="25">
        <f>'相関係数'!B313</f>
        <v>148</v>
      </c>
      <c r="G313" s="25">
        <f>'相関係数'!C313</f>
        <v>31</v>
      </c>
      <c r="T313" s="29">
        <f>A183</f>
        <v>45223</v>
      </c>
      <c r="U313" s="20">
        <f>D183</f>
        <v>112</v>
      </c>
      <c r="V313" s="30">
        <f t="shared" ref="V313:W313" si="318">B183</f>
        <v>130</v>
      </c>
      <c r="W313" s="20">
        <f t="shared" si="318"/>
        <v>18</v>
      </c>
    </row>
    <row r="314" ht="18.75" customHeight="1">
      <c r="A314" s="21">
        <f t="shared" si="4"/>
        <v>45029</v>
      </c>
      <c r="B314" s="22">
        <f t="shared" si="5"/>
        <v>149</v>
      </c>
      <c r="C314" s="22">
        <f t="shared" si="6"/>
        <v>32</v>
      </c>
      <c r="D314" s="23">
        <f t="shared" si="7"/>
        <v>117</v>
      </c>
      <c r="E314" s="24">
        <f>'相関係数'!A314</f>
        <v>45029</v>
      </c>
      <c r="F314" s="25">
        <f>'相関係数'!B314</f>
        <v>149</v>
      </c>
      <c r="G314" s="25">
        <f>'相関係数'!C314</f>
        <v>32</v>
      </c>
      <c r="T314" s="29">
        <f>A182</f>
        <v>45224</v>
      </c>
      <c r="U314" s="20">
        <f>D182</f>
        <v>111</v>
      </c>
      <c r="V314" s="30">
        <f t="shared" ref="V314:W314" si="319">B182</f>
        <v>130</v>
      </c>
      <c r="W314" s="20">
        <f t="shared" si="319"/>
        <v>19</v>
      </c>
    </row>
    <row r="315" ht="18.75" customHeight="1">
      <c r="A315" s="21">
        <f t="shared" si="4"/>
        <v>45028</v>
      </c>
      <c r="B315" s="22">
        <f t="shared" si="5"/>
        <v>149</v>
      </c>
      <c r="C315" s="22">
        <f t="shared" si="6"/>
        <v>31</v>
      </c>
      <c r="D315" s="23">
        <f t="shared" si="7"/>
        <v>118</v>
      </c>
      <c r="E315" s="24">
        <f>'相関係数'!A315</f>
        <v>45028</v>
      </c>
      <c r="F315" s="25">
        <f>'相関係数'!B315</f>
        <v>149</v>
      </c>
      <c r="G315" s="25">
        <f>'相関係数'!C315</f>
        <v>31</v>
      </c>
      <c r="T315" s="29">
        <f>A181</f>
        <v>45225</v>
      </c>
      <c r="U315" s="20">
        <f>D181</f>
        <v>110</v>
      </c>
      <c r="V315" s="30">
        <f t="shared" ref="V315:W315" si="320">B181</f>
        <v>129</v>
      </c>
      <c r="W315" s="20">
        <f t="shared" si="320"/>
        <v>19</v>
      </c>
    </row>
    <row r="316" ht="18.75" customHeight="1">
      <c r="A316" s="21">
        <f t="shared" si="4"/>
        <v>45027</v>
      </c>
      <c r="B316" s="22">
        <f t="shared" si="5"/>
        <v>146</v>
      </c>
      <c r="C316" s="22">
        <f t="shared" si="6"/>
        <v>31</v>
      </c>
      <c r="D316" s="23">
        <f t="shared" si="7"/>
        <v>115</v>
      </c>
      <c r="E316" s="24">
        <f>'相関係数'!A316</f>
        <v>45027</v>
      </c>
      <c r="F316" s="25">
        <f>'相関係数'!B316</f>
        <v>146</v>
      </c>
      <c r="G316" s="25">
        <f>'相関係数'!C316</f>
        <v>31</v>
      </c>
      <c r="T316" s="29">
        <f>A180</f>
        <v>45226</v>
      </c>
      <c r="U316" s="20">
        <f>D180</f>
        <v>111</v>
      </c>
      <c r="V316" s="30">
        <f t="shared" ref="V316:W316" si="321">B180</f>
        <v>129</v>
      </c>
      <c r="W316" s="20">
        <f t="shared" si="321"/>
        <v>18</v>
      </c>
    </row>
    <row r="317" ht="18.75" customHeight="1">
      <c r="A317" s="21">
        <f t="shared" si="4"/>
        <v>45026</v>
      </c>
      <c r="B317" s="22">
        <f t="shared" si="5"/>
        <v>145</v>
      </c>
      <c r="C317" s="22">
        <f t="shared" si="6"/>
        <v>32</v>
      </c>
      <c r="D317" s="23">
        <f t="shared" si="7"/>
        <v>113</v>
      </c>
      <c r="E317" s="24">
        <f>'相関係数'!A317</f>
        <v>45026</v>
      </c>
      <c r="F317" s="25">
        <f>'相関係数'!B317</f>
        <v>145</v>
      </c>
      <c r="G317" s="25">
        <f>'相関係数'!C317</f>
        <v>32</v>
      </c>
      <c r="T317" s="29">
        <f>A179</f>
        <v>45229</v>
      </c>
      <c r="U317" s="20">
        <f>D179</f>
        <v>107</v>
      </c>
      <c r="V317" s="30">
        <f t="shared" ref="V317:W317" si="322">B179</f>
        <v>126</v>
      </c>
      <c r="W317" s="20">
        <f t="shared" si="322"/>
        <v>19</v>
      </c>
    </row>
    <row r="318" ht="18.75" customHeight="1">
      <c r="A318" s="21">
        <f t="shared" si="4"/>
        <v>45023</v>
      </c>
      <c r="B318" s="22">
        <f t="shared" si="5"/>
        <v>143</v>
      </c>
      <c r="C318" s="22">
        <f t="shared" si="6"/>
        <v>31</v>
      </c>
      <c r="D318" s="23">
        <f t="shared" si="7"/>
        <v>112</v>
      </c>
      <c r="E318" s="24">
        <f>'相関係数'!A318</f>
        <v>45023</v>
      </c>
      <c r="F318" s="25">
        <f>'相関係数'!B318</f>
        <v>143</v>
      </c>
      <c r="G318" s="25">
        <f>'相関係数'!C318</f>
        <v>31</v>
      </c>
      <c r="T318" s="29">
        <f>A178</f>
        <v>45230</v>
      </c>
      <c r="U318" s="20">
        <f>D178</f>
        <v>111</v>
      </c>
      <c r="V318" s="30">
        <f t="shared" ref="V318:W318" si="323">B178</f>
        <v>129</v>
      </c>
      <c r="W318" s="20">
        <f t="shared" si="323"/>
        <v>18</v>
      </c>
    </row>
    <row r="319" ht="18.75" customHeight="1">
      <c r="A319" s="21">
        <f t="shared" si="4"/>
        <v>45022</v>
      </c>
      <c r="B319" s="22">
        <f t="shared" si="5"/>
        <v>143</v>
      </c>
      <c r="C319" s="22">
        <f t="shared" si="6"/>
        <v>31</v>
      </c>
      <c r="D319" s="23">
        <f t="shared" si="7"/>
        <v>112</v>
      </c>
      <c r="E319" s="24">
        <f>'相関係数'!A319</f>
        <v>45022</v>
      </c>
      <c r="F319" s="25">
        <f>'相関係数'!B319</f>
        <v>143</v>
      </c>
      <c r="G319" s="25">
        <f>'相関係数'!C319</f>
        <v>31</v>
      </c>
      <c r="T319" s="29">
        <f>A177</f>
        <v>45231</v>
      </c>
      <c r="U319" s="20">
        <f>D177</f>
        <v>111</v>
      </c>
      <c r="V319" s="30">
        <f t="shared" ref="V319:W319" si="324">B177</f>
        <v>129</v>
      </c>
      <c r="W319" s="20">
        <f t="shared" si="324"/>
        <v>18</v>
      </c>
    </row>
    <row r="320" ht="18.75" customHeight="1">
      <c r="A320" s="21">
        <f t="shared" si="4"/>
        <v>45021</v>
      </c>
      <c r="B320" s="22">
        <f t="shared" si="5"/>
        <v>144</v>
      </c>
      <c r="C320" s="22">
        <f t="shared" si="6"/>
        <v>32</v>
      </c>
      <c r="D320" s="23">
        <f t="shared" si="7"/>
        <v>112</v>
      </c>
      <c r="E320" s="24">
        <f>'相関係数'!A320</f>
        <v>45021</v>
      </c>
      <c r="F320" s="25">
        <f>'相関係数'!B320</f>
        <v>144</v>
      </c>
      <c r="G320" s="25">
        <f>'相関係数'!C320</f>
        <v>32</v>
      </c>
      <c r="T320" s="29">
        <f>A176</f>
        <v>45232</v>
      </c>
      <c r="U320" s="20">
        <f>D176</f>
        <v>112</v>
      </c>
      <c r="V320" s="30">
        <f t="shared" ref="V320:W320" si="325">B176</f>
        <v>131</v>
      </c>
      <c r="W320" s="20">
        <f t="shared" si="325"/>
        <v>19</v>
      </c>
    </row>
    <row r="321" ht="18.75" customHeight="1">
      <c r="A321" s="21">
        <f t="shared" si="4"/>
        <v>45020</v>
      </c>
      <c r="B321" s="22">
        <f t="shared" si="5"/>
        <v>145</v>
      </c>
      <c r="C321" s="22">
        <f t="shared" si="6"/>
        <v>31</v>
      </c>
      <c r="D321" s="23">
        <f t="shared" si="7"/>
        <v>114</v>
      </c>
      <c r="E321" s="24">
        <f>'相関係数'!A321</f>
        <v>45020</v>
      </c>
      <c r="F321" s="25">
        <f>'相関係数'!B321</f>
        <v>145</v>
      </c>
      <c r="G321" s="25">
        <f>'相関係数'!C321</f>
        <v>31</v>
      </c>
      <c r="T321" s="29">
        <f>A175</f>
        <v>45236</v>
      </c>
      <c r="U321" s="20">
        <f>D175</f>
        <v>111</v>
      </c>
      <c r="V321" s="30">
        <f t="shared" ref="V321:W321" si="326">B175</f>
        <v>130</v>
      </c>
      <c r="W321" s="20">
        <f t="shared" si="326"/>
        <v>19</v>
      </c>
    </row>
    <row r="322" ht="18.75" customHeight="1">
      <c r="A322" s="21">
        <f t="shared" si="4"/>
        <v>45019</v>
      </c>
      <c r="B322" s="22">
        <f t="shared" si="5"/>
        <v>147</v>
      </c>
      <c r="C322" s="22">
        <f t="shared" si="6"/>
        <v>31</v>
      </c>
      <c r="D322" s="23">
        <f t="shared" si="7"/>
        <v>116</v>
      </c>
      <c r="E322" s="24">
        <f>'相関係数'!A322</f>
        <v>45019</v>
      </c>
      <c r="F322" s="25">
        <f>'相関係数'!B322</f>
        <v>147</v>
      </c>
      <c r="G322" s="25">
        <f>'相関係数'!C322</f>
        <v>31</v>
      </c>
      <c r="T322" s="29">
        <f>A174</f>
        <v>45237</v>
      </c>
      <c r="U322" s="20">
        <f>D174</f>
        <v>110</v>
      </c>
      <c r="V322" s="30">
        <f t="shared" ref="V322:W322" si="327">B174</f>
        <v>128</v>
      </c>
      <c r="W322" s="20">
        <f t="shared" si="327"/>
        <v>18</v>
      </c>
    </row>
    <row r="323" ht="18.75" customHeight="1">
      <c r="A323" s="21">
        <f t="shared" si="4"/>
        <v>45016</v>
      </c>
      <c r="B323" s="22">
        <f t="shared" si="5"/>
        <v>147</v>
      </c>
      <c r="C323" s="22">
        <f t="shared" si="6"/>
        <v>31</v>
      </c>
      <c r="D323" s="23">
        <f t="shared" si="7"/>
        <v>116</v>
      </c>
      <c r="E323" s="24">
        <f>'相関係数'!A323</f>
        <v>45016</v>
      </c>
      <c r="F323" s="25">
        <f>'相関係数'!B323</f>
        <v>147</v>
      </c>
      <c r="G323" s="25">
        <f>'相関係数'!C323</f>
        <v>31</v>
      </c>
      <c r="T323" s="29">
        <f>A173</f>
        <v>45238</v>
      </c>
      <c r="U323" s="20">
        <f>D173</f>
        <v>109</v>
      </c>
      <c r="V323" s="30">
        <f t="shared" ref="V323:W323" si="328">B173</f>
        <v>127</v>
      </c>
      <c r="W323" s="20">
        <f t="shared" si="328"/>
        <v>18</v>
      </c>
    </row>
    <row r="324" ht="18.75" customHeight="1">
      <c r="A324" s="21">
        <f t="shared" si="4"/>
        <v>45015</v>
      </c>
      <c r="B324" s="22">
        <f t="shared" si="5"/>
        <v>148</v>
      </c>
      <c r="C324" s="22">
        <f t="shared" si="6"/>
        <v>31</v>
      </c>
      <c r="D324" s="23">
        <f t="shared" si="7"/>
        <v>117</v>
      </c>
      <c r="E324" s="24">
        <f>'相関係数'!A324</f>
        <v>45015</v>
      </c>
      <c r="F324" s="25">
        <f>'相関係数'!B324</f>
        <v>148</v>
      </c>
      <c r="G324" s="25">
        <f>'相関係数'!C324</f>
        <v>31</v>
      </c>
      <c r="T324" s="29">
        <f>A172</f>
        <v>45239</v>
      </c>
      <c r="U324" s="20">
        <f>D172</f>
        <v>108</v>
      </c>
      <c r="V324" s="30">
        <f t="shared" ref="V324:W324" si="329">B172</f>
        <v>127</v>
      </c>
      <c r="W324" s="20">
        <f t="shared" si="329"/>
        <v>19</v>
      </c>
    </row>
    <row r="325" ht="18.75" customHeight="1">
      <c r="A325" s="21">
        <f t="shared" si="4"/>
        <v>45014</v>
      </c>
      <c r="B325" s="22">
        <f t="shared" si="5"/>
        <v>145</v>
      </c>
      <c r="C325" s="22">
        <f t="shared" si="6"/>
        <v>31</v>
      </c>
      <c r="D325" s="23">
        <f t="shared" si="7"/>
        <v>114</v>
      </c>
      <c r="E325" s="24">
        <f>'相関係数'!A325</f>
        <v>45014</v>
      </c>
      <c r="F325" s="25">
        <f>'相関係数'!B325</f>
        <v>145</v>
      </c>
      <c r="G325" s="25">
        <f>'相関係数'!C325</f>
        <v>31</v>
      </c>
      <c r="T325" s="29">
        <f>A171</f>
        <v>45240</v>
      </c>
      <c r="U325" s="20">
        <f>D171</f>
        <v>106</v>
      </c>
      <c r="V325" s="30">
        <f t="shared" ref="V325:W325" si="330">B171</f>
        <v>125</v>
      </c>
      <c r="W325" s="20">
        <f t="shared" si="330"/>
        <v>19</v>
      </c>
    </row>
    <row r="326" ht="18.75" customHeight="1">
      <c r="A326" s="21">
        <f t="shared" si="4"/>
        <v>45013</v>
      </c>
      <c r="B326" s="22">
        <f t="shared" si="5"/>
        <v>145</v>
      </c>
      <c r="C326" s="22">
        <f t="shared" si="6"/>
        <v>31</v>
      </c>
      <c r="D326" s="23">
        <f t="shared" si="7"/>
        <v>114</v>
      </c>
      <c r="E326" s="24">
        <f>'相関係数'!A326</f>
        <v>45013</v>
      </c>
      <c r="F326" s="25">
        <f>'相関係数'!B326</f>
        <v>145</v>
      </c>
      <c r="G326" s="25">
        <f>'相関係数'!C326</f>
        <v>31</v>
      </c>
      <c r="T326" s="29">
        <f>A170</f>
        <v>45243</v>
      </c>
      <c r="U326" s="20">
        <f>D170</f>
        <v>104</v>
      </c>
      <c r="V326" s="30">
        <f t="shared" ref="V326:W326" si="331">B170</f>
        <v>123</v>
      </c>
      <c r="W326" s="20">
        <f t="shared" si="331"/>
        <v>19</v>
      </c>
    </row>
    <row r="327" ht="18.75" customHeight="1">
      <c r="A327" s="21">
        <f t="shared" si="4"/>
        <v>45012</v>
      </c>
      <c r="B327" s="22">
        <f t="shared" si="5"/>
        <v>142</v>
      </c>
      <c r="C327" s="22">
        <f t="shared" si="6"/>
        <v>32</v>
      </c>
      <c r="D327" s="23">
        <f t="shared" si="7"/>
        <v>110</v>
      </c>
      <c r="E327" s="24">
        <f>'相関係数'!A327</f>
        <v>45012</v>
      </c>
      <c r="F327" s="25">
        <f>'相関係数'!B327</f>
        <v>142</v>
      </c>
      <c r="G327" s="25">
        <f>'相関係数'!C327</f>
        <v>32</v>
      </c>
      <c r="T327" s="29">
        <f>A169</f>
        <v>45244</v>
      </c>
      <c r="U327" s="20">
        <f>D169</f>
        <v>101</v>
      </c>
      <c r="V327" s="30">
        <f t="shared" ref="V327:W327" si="332">B169</f>
        <v>120</v>
      </c>
      <c r="W327" s="20">
        <f t="shared" si="332"/>
        <v>19</v>
      </c>
    </row>
    <row r="328" ht="18.75" customHeight="1">
      <c r="A328" s="21">
        <f t="shared" si="4"/>
        <v>45009</v>
      </c>
      <c r="B328" s="22">
        <f t="shared" si="5"/>
        <v>142</v>
      </c>
      <c r="C328" s="22">
        <f t="shared" si="6"/>
        <v>32</v>
      </c>
      <c r="D328" s="23">
        <f t="shared" si="7"/>
        <v>110</v>
      </c>
      <c r="E328" s="24">
        <f>'相関係数'!A328</f>
        <v>45009</v>
      </c>
      <c r="F328" s="25">
        <f>'相関係数'!B328</f>
        <v>142</v>
      </c>
      <c r="G328" s="25">
        <f>'相関係数'!C328</f>
        <v>32</v>
      </c>
      <c r="T328" s="29">
        <f>A168</f>
        <v>45245</v>
      </c>
      <c r="U328" s="20">
        <f>D168</f>
        <v>103</v>
      </c>
      <c r="V328" s="30">
        <f t="shared" ref="V328:W328" si="333">B168</f>
        <v>121</v>
      </c>
      <c r="W328" s="20">
        <f t="shared" si="333"/>
        <v>18</v>
      </c>
    </row>
    <row r="329" ht="18.75" customHeight="1">
      <c r="A329" s="21">
        <f t="shared" si="4"/>
        <v>45008</v>
      </c>
      <c r="B329" s="22">
        <f t="shared" si="5"/>
        <v>142</v>
      </c>
      <c r="C329" s="22">
        <f t="shared" si="6"/>
        <v>33</v>
      </c>
      <c r="D329" s="23">
        <f t="shared" si="7"/>
        <v>109</v>
      </c>
      <c r="E329" s="24">
        <f>'相関係数'!A329</f>
        <v>45008</v>
      </c>
      <c r="F329" s="25">
        <f>'相関係数'!B329</f>
        <v>142</v>
      </c>
      <c r="G329" s="25">
        <f>'相関係数'!C329</f>
        <v>33</v>
      </c>
      <c r="T329" s="29">
        <f>A167</f>
        <v>45246</v>
      </c>
      <c r="U329" s="20">
        <f>D167</f>
        <v>100</v>
      </c>
      <c r="V329" s="30">
        <f t="shared" ref="V329:W329" si="334">B167</f>
        <v>117</v>
      </c>
      <c r="W329" s="20">
        <f t="shared" si="334"/>
        <v>17</v>
      </c>
    </row>
    <row r="330" ht="18.75" customHeight="1">
      <c r="A330" s="21">
        <f t="shared" si="4"/>
        <v>45007</v>
      </c>
      <c r="B330" s="22">
        <f t="shared" si="5"/>
        <v>143</v>
      </c>
      <c r="C330" s="22">
        <f t="shared" si="6"/>
        <v>33</v>
      </c>
      <c r="D330" s="23">
        <f t="shared" si="7"/>
        <v>110</v>
      </c>
      <c r="E330" s="24">
        <f>'相関係数'!A330</f>
        <v>45007</v>
      </c>
      <c r="F330" s="25">
        <f>'相関係数'!B330</f>
        <v>143</v>
      </c>
      <c r="G330" s="25">
        <f>'相関係数'!C330</f>
        <v>33</v>
      </c>
      <c r="T330" s="29">
        <f>A166</f>
        <v>45247</v>
      </c>
      <c r="U330" s="20">
        <f>D166</f>
        <v>98</v>
      </c>
      <c r="V330" s="30">
        <f t="shared" ref="V330:W330" si="335">B166</f>
        <v>116</v>
      </c>
      <c r="W330" s="20">
        <f t="shared" si="335"/>
        <v>18</v>
      </c>
    </row>
    <row r="331" ht="18.75" customHeight="1">
      <c r="A331" s="21">
        <f t="shared" si="4"/>
        <v>45005</v>
      </c>
      <c r="B331" s="22">
        <f t="shared" si="5"/>
        <v>142</v>
      </c>
      <c r="C331" s="22">
        <f t="shared" si="6"/>
        <v>31</v>
      </c>
      <c r="D331" s="23">
        <f t="shared" si="7"/>
        <v>111</v>
      </c>
      <c r="E331" s="24">
        <f>'相関係数'!A331</f>
        <v>45005</v>
      </c>
      <c r="F331" s="25">
        <f>'相関係数'!B331</f>
        <v>142</v>
      </c>
      <c r="G331" s="25">
        <f>'相関係数'!C331</f>
        <v>31</v>
      </c>
      <c r="T331" s="29">
        <f>A165</f>
        <v>45250</v>
      </c>
      <c r="U331" s="20">
        <f>D165</f>
        <v>104</v>
      </c>
      <c r="V331" s="30">
        <f t="shared" ref="V331:W331" si="336">B165</f>
        <v>122</v>
      </c>
      <c r="W331" s="20">
        <f t="shared" si="336"/>
        <v>18</v>
      </c>
    </row>
    <row r="332" ht="18.75" customHeight="1">
      <c r="A332" s="21">
        <f t="shared" si="4"/>
        <v>45002</v>
      </c>
      <c r="B332" s="22">
        <f t="shared" si="5"/>
        <v>144</v>
      </c>
      <c r="C332" s="22">
        <f t="shared" si="6"/>
        <v>31</v>
      </c>
      <c r="D332" s="23">
        <f t="shared" si="7"/>
        <v>113</v>
      </c>
      <c r="E332" s="24">
        <f>'相関係数'!A332</f>
        <v>45002</v>
      </c>
      <c r="F332" s="25">
        <f>'相関係数'!B332</f>
        <v>144</v>
      </c>
      <c r="G332" s="25">
        <f>'相関係数'!C332</f>
        <v>31</v>
      </c>
      <c r="T332" s="29">
        <f>A164</f>
        <v>45251</v>
      </c>
      <c r="U332" s="20">
        <f>D164</f>
        <v>103</v>
      </c>
      <c r="V332" s="30">
        <f t="shared" ref="V332:W332" si="337">B164</f>
        <v>120</v>
      </c>
      <c r="W332" s="20">
        <f t="shared" si="337"/>
        <v>17</v>
      </c>
    </row>
    <row r="333" ht="18.75" customHeight="1">
      <c r="A333" s="21">
        <f t="shared" si="4"/>
        <v>45001</v>
      </c>
      <c r="B333" s="22">
        <f t="shared" si="5"/>
        <v>141</v>
      </c>
      <c r="C333" s="22">
        <f t="shared" si="6"/>
        <v>32</v>
      </c>
      <c r="D333" s="23">
        <f t="shared" si="7"/>
        <v>109</v>
      </c>
      <c r="E333" s="24">
        <f>'相関係数'!A333</f>
        <v>45001</v>
      </c>
      <c r="F333" s="25">
        <f>'相関係数'!B333</f>
        <v>141</v>
      </c>
      <c r="G333" s="25">
        <f>'相関係数'!C333</f>
        <v>32</v>
      </c>
      <c r="T333" s="29">
        <f>A163</f>
        <v>45252</v>
      </c>
      <c r="U333" s="20">
        <f>D163</f>
        <v>105</v>
      </c>
      <c r="V333" s="30">
        <f t="shared" ref="V333:W333" si="338">B163</f>
        <v>121</v>
      </c>
      <c r="W333" s="20">
        <f t="shared" si="338"/>
        <v>16</v>
      </c>
    </row>
    <row r="334" ht="18.75" customHeight="1">
      <c r="A334" s="21">
        <f t="shared" si="4"/>
        <v>45000</v>
      </c>
      <c r="B334" s="22">
        <f t="shared" si="5"/>
        <v>143</v>
      </c>
      <c r="C334" s="22">
        <f t="shared" si="6"/>
        <v>31</v>
      </c>
      <c r="D334" s="23">
        <f t="shared" si="7"/>
        <v>112</v>
      </c>
      <c r="E334" s="24">
        <f>'相関係数'!A334</f>
        <v>45000</v>
      </c>
      <c r="F334" s="25">
        <f>'相関係数'!B334</f>
        <v>143</v>
      </c>
      <c r="G334" s="25">
        <f>'相関係数'!C334</f>
        <v>31</v>
      </c>
      <c r="T334" s="29">
        <f>A162</f>
        <v>45254</v>
      </c>
      <c r="U334" s="20">
        <f>D162</f>
        <v>103</v>
      </c>
      <c r="V334" s="30">
        <f t="shared" ref="V334:W334" si="339">B162</f>
        <v>120</v>
      </c>
      <c r="W334" s="20">
        <f t="shared" si="339"/>
        <v>17</v>
      </c>
    </row>
    <row r="335" ht="18.75" customHeight="1">
      <c r="A335" s="21">
        <f t="shared" si="4"/>
        <v>44999</v>
      </c>
      <c r="B335" s="22">
        <f t="shared" si="5"/>
        <v>144</v>
      </c>
      <c r="C335" s="22">
        <f t="shared" si="6"/>
        <v>31</v>
      </c>
      <c r="D335" s="23">
        <f t="shared" si="7"/>
        <v>113</v>
      </c>
      <c r="E335" s="24">
        <f>'相関係数'!A335</f>
        <v>44999</v>
      </c>
      <c r="F335" s="25">
        <f>'相関係数'!B335</f>
        <v>144</v>
      </c>
      <c r="G335" s="25">
        <f>'相関係数'!C335</f>
        <v>31</v>
      </c>
      <c r="T335" s="29">
        <f>A161</f>
        <v>45257</v>
      </c>
      <c r="U335" s="20">
        <f>D161</f>
        <v>104</v>
      </c>
      <c r="V335" s="30">
        <f t="shared" ref="V335:W335" si="340">B161</f>
        <v>121</v>
      </c>
      <c r="W335" s="20">
        <f t="shared" si="340"/>
        <v>17</v>
      </c>
    </row>
    <row r="336" ht="18.75" customHeight="1">
      <c r="A336" s="21">
        <f t="shared" si="4"/>
        <v>44998</v>
      </c>
      <c r="B336" s="22">
        <f t="shared" si="5"/>
        <v>148</v>
      </c>
      <c r="C336" s="22">
        <f t="shared" si="6"/>
        <v>32</v>
      </c>
      <c r="D336" s="23">
        <f t="shared" si="7"/>
        <v>116</v>
      </c>
      <c r="E336" s="24">
        <f>'相関係数'!A336</f>
        <v>44998</v>
      </c>
      <c r="F336" s="25">
        <f>'相関係数'!B336</f>
        <v>148</v>
      </c>
      <c r="G336" s="25">
        <f>'相関係数'!C336</f>
        <v>32</v>
      </c>
      <c r="T336" s="29">
        <f>A160</f>
        <v>45258</v>
      </c>
      <c r="U336" s="20">
        <f>D160</f>
        <v>111</v>
      </c>
      <c r="V336" s="30">
        <f t="shared" ref="V336:W336" si="341">B160</f>
        <v>127</v>
      </c>
      <c r="W336" s="20">
        <f t="shared" si="341"/>
        <v>16</v>
      </c>
    </row>
    <row r="337" ht="18.75" customHeight="1">
      <c r="A337" s="21">
        <f t="shared" si="4"/>
        <v>44995</v>
      </c>
      <c r="B337" s="22">
        <f t="shared" si="5"/>
        <v>147</v>
      </c>
      <c r="C337" s="22">
        <f t="shared" si="6"/>
        <v>33</v>
      </c>
      <c r="D337" s="23">
        <f t="shared" si="7"/>
        <v>114</v>
      </c>
      <c r="E337" s="24">
        <f>'相関係数'!A337</f>
        <v>44995</v>
      </c>
      <c r="F337" s="25">
        <f>'相関係数'!B337</f>
        <v>147</v>
      </c>
      <c r="G337" s="25">
        <f>'相関係数'!C337</f>
        <v>33</v>
      </c>
      <c r="T337" s="29">
        <f>A159</f>
        <v>45259</v>
      </c>
      <c r="U337" s="20">
        <f>D159</f>
        <v>152</v>
      </c>
      <c r="V337" s="30">
        <f t="shared" ref="V337:W337" si="342">B159</f>
        <v>168</v>
      </c>
      <c r="W337" s="20">
        <f t="shared" si="342"/>
        <v>16</v>
      </c>
    </row>
    <row r="338" ht="18.75" customHeight="1">
      <c r="A338" s="21">
        <f t="shared" si="4"/>
        <v>44994</v>
      </c>
      <c r="B338" s="22">
        <f t="shared" si="5"/>
        <v>151</v>
      </c>
      <c r="C338" s="22">
        <f t="shared" si="6"/>
        <v>34</v>
      </c>
      <c r="D338" s="23">
        <f t="shared" si="7"/>
        <v>117</v>
      </c>
      <c r="E338" s="24">
        <f>'相関係数'!A338</f>
        <v>44994</v>
      </c>
      <c r="F338" s="25">
        <f>'相関係数'!B338</f>
        <v>151</v>
      </c>
      <c r="G338" s="25">
        <f>'相関係数'!C338</f>
        <v>34</v>
      </c>
      <c r="T338" s="29">
        <f>A158</f>
        <v>45260</v>
      </c>
      <c r="U338" s="20">
        <f>D158</f>
        <v>120</v>
      </c>
      <c r="V338" s="30">
        <f t="shared" ref="V338:W338" si="343">B158</f>
        <v>136</v>
      </c>
      <c r="W338" s="20">
        <f t="shared" si="343"/>
        <v>16</v>
      </c>
    </row>
    <row r="339" ht="18.75" customHeight="1">
      <c r="A339" s="21">
        <f t="shared" si="4"/>
        <v>44993</v>
      </c>
      <c r="B339" s="22">
        <f t="shared" si="5"/>
        <v>150</v>
      </c>
      <c r="C339" s="22">
        <f t="shared" si="6"/>
        <v>33</v>
      </c>
      <c r="D339" s="23">
        <f t="shared" si="7"/>
        <v>117</v>
      </c>
      <c r="E339" s="24">
        <f>'相関係数'!A339</f>
        <v>44993</v>
      </c>
      <c r="F339" s="25">
        <f>'相関係数'!B339</f>
        <v>150</v>
      </c>
      <c r="G339" s="25">
        <f>'相関係数'!C339</f>
        <v>33</v>
      </c>
      <c r="T339" s="29">
        <f>A157</f>
        <v>45261</v>
      </c>
      <c r="U339" s="20">
        <f>D157</f>
        <v>114</v>
      </c>
      <c r="V339" s="30">
        <f t="shared" ref="V339:W339" si="344">B157</f>
        <v>131</v>
      </c>
      <c r="W339" s="20">
        <f t="shared" si="344"/>
        <v>17</v>
      </c>
    </row>
    <row r="340" ht="18.75" customHeight="1">
      <c r="A340" s="21">
        <f t="shared" si="4"/>
        <v>44992</v>
      </c>
      <c r="B340" s="22">
        <f t="shared" si="5"/>
        <v>150</v>
      </c>
      <c r="C340" s="22">
        <f t="shared" si="6"/>
        <v>33</v>
      </c>
      <c r="D340" s="23">
        <f t="shared" si="7"/>
        <v>117</v>
      </c>
      <c r="E340" s="24">
        <f>'相関係数'!A340</f>
        <v>44992</v>
      </c>
      <c r="F340" s="25">
        <f>'相関係数'!B340</f>
        <v>150</v>
      </c>
      <c r="G340" s="25">
        <f>'相関係数'!C340</f>
        <v>33</v>
      </c>
      <c r="T340" s="29">
        <f>A156</f>
        <v>45264</v>
      </c>
      <c r="U340" s="20">
        <f>D156</f>
        <v>123</v>
      </c>
      <c r="V340" s="30">
        <f t="shared" ref="V340:W340" si="345">B156</f>
        <v>139</v>
      </c>
      <c r="W340" s="20">
        <f t="shared" si="345"/>
        <v>16</v>
      </c>
    </row>
    <row r="341" ht="18.75" customHeight="1">
      <c r="A341" s="21">
        <f t="shared" si="4"/>
        <v>44991</v>
      </c>
      <c r="B341" s="22">
        <f t="shared" si="5"/>
        <v>149</v>
      </c>
      <c r="C341" s="22">
        <f t="shared" si="6"/>
        <v>34</v>
      </c>
      <c r="D341" s="23">
        <f t="shared" si="7"/>
        <v>115</v>
      </c>
      <c r="E341" s="24">
        <f>'相関係数'!A341</f>
        <v>44991</v>
      </c>
      <c r="F341" s="25">
        <f>'相関係数'!B341</f>
        <v>149</v>
      </c>
      <c r="G341" s="25">
        <f>'相関係数'!C341</f>
        <v>34</v>
      </c>
      <c r="T341" s="29">
        <f>A155</f>
        <v>45265</v>
      </c>
      <c r="U341" s="20">
        <f>D155</f>
        <v>120</v>
      </c>
      <c r="V341" s="30">
        <f t="shared" ref="V341:W341" si="346">B155</f>
        <v>136</v>
      </c>
      <c r="W341" s="20">
        <f t="shared" si="346"/>
        <v>16</v>
      </c>
    </row>
    <row r="342" ht="18.75" customHeight="1">
      <c r="A342" s="21">
        <f t="shared" si="4"/>
        <v>44988</v>
      </c>
      <c r="B342" s="22">
        <f t="shared" si="5"/>
        <v>149</v>
      </c>
      <c r="C342" s="22">
        <f t="shared" si="6"/>
        <v>33</v>
      </c>
      <c r="D342" s="23">
        <f t="shared" si="7"/>
        <v>116</v>
      </c>
      <c r="E342" s="24">
        <f>'相関係数'!A342</f>
        <v>44988</v>
      </c>
      <c r="F342" s="25">
        <f>'相関係数'!B342</f>
        <v>149</v>
      </c>
      <c r="G342" s="25">
        <f>'相関係数'!C342</f>
        <v>33</v>
      </c>
      <c r="T342" s="29">
        <f>A154</f>
        <v>45266</v>
      </c>
      <c r="U342" s="20">
        <f>D154</f>
        <v>124</v>
      </c>
      <c r="V342" s="30">
        <f t="shared" ref="V342:W342" si="347">B154</f>
        <v>139</v>
      </c>
      <c r="W342" s="20">
        <f t="shared" si="347"/>
        <v>15</v>
      </c>
    </row>
    <row r="343" ht="18.75" customHeight="1">
      <c r="A343" s="21">
        <f t="shared" si="4"/>
        <v>44987</v>
      </c>
      <c r="B343" s="22">
        <f t="shared" si="5"/>
        <v>148</v>
      </c>
      <c r="C343" s="22">
        <f t="shared" si="6"/>
        <v>33</v>
      </c>
      <c r="D343" s="23">
        <f t="shared" si="7"/>
        <v>115</v>
      </c>
      <c r="E343" s="24">
        <f>'相関係数'!A343</f>
        <v>44987</v>
      </c>
      <c r="F343" s="25">
        <f>'相関係数'!B343</f>
        <v>148</v>
      </c>
      <c r="G343" s="25">
        <f>'相関係数'!C343</f>
        <v>33</v>
      </c>
      <c r="T343" s="29">
        <f>A153</f>
        <v>45267</v>
      </c>
      <c r="U343" s="20">
        <f>D153</f>
        <v>120</v>
      </c>
      <c r="V343" s="30">
        <f t="shared" ref="V343:W343" si="348">B153</f>
        <v>135</v>
      </c>
      <c r="W343" s="20">
        <f t="shared" si="348"/>
        <v>15</v>
      </c>
    </row>
    <row r="344" ht="18.75" customHeight="1">
      <c r="A344" s="21">
        <f t="shared" si="4"/>
        <v>44986</v>
      </c>
      <c r="B344" s="22">
        <f t="shared" si="5"/>
        <v>150</v>
      </c>
      <c r="C344" s="22">
        <f t="shared" si="6"/>
        <v>34</v>
      </c>
      <c r="D344" s="23">
        <f t="shared" si="7"/>
        <v>116</v>
      </c>
      <c r="E344" s="24">
        <f>'相関係数'!A344</f>
        <v>44986</v>
      </c>
      <c r="F344" s="25">
        <f>'相関係数'!B344</f>
        <v>150</v>
      </c>
      <c r="G344" s="25">
        <f>'相関係数'!C344</f>
        <v>34</v>
      </c>
      <c r="T344" s="29">
        <f>A152</f>
        <v>45268</v>
      </c>
      <c r="U344" s="20">
        <f>D152</f>
        <v>121</v>
      </c>
      <c r="V344" s="30">
        <f t="shared" ref="V344:W344" si="349">B152</f>
        <v>137</v>
      </c>
      <c r="W344" s="20">
        <f t="shared" si="349"/>
        <v>16</v>
      </c>
    </row>
    <row r="345" ht="18.75" customHeight="1">
      <c r="A345" s="21">
        <f t="shared" si="4"/>
        <v>44985</v>
      </c>
      <c r="B345" s="22">
        <f t="shared" si="5"/>
        <v>151</v>
      </c>
      <c r="C345" s="22">
        <f t="shared" si="6"/>
        <v>33</v>
      </c>
      <c r="D345" s="23">
        <f t="shared" si="7"/>
        <v>118</v>
      </c>
      <c r="E345" s="24">
        <f>'相関係数'!A345</f>
        <v>44985</v>
      </c>
      <c r="F345" s="25">
        <f>'相関係数'!B345</f>
        <v>151</v>
      </c>
      <c r="G345" s="25">
        <f>'相関係数'!C345</f>
        <v>33</v>
      </c>
      <c r="T345" s="29">
        <f>A151</f>
        <v>45271</v>
      </c>
      <c r="U345" s="20">
        <f>D151</f>
        <v>123</v>
      </c>
      <c r="V345" s="30">
        <f t="shared" ref="V345:W345" si="350">B151</f>
        <v>138</v>
      </c>
      <c r="W345" s="20">
        <f t="shared" si="350"/>
        <v>15</v>
      </c>
    </row>
    <row r="346" ht="18.75" customHeight="1">
      <c r="A346" s="21">
        <f t="shared" si="4"/>
        <v>44984</v>
      </c>
      <c r="B346" s="22">
        <f t="shared" si="5"/>
        <v>149</v>
      </c>
      <c r="C346" s="22">
        <f t="shared" si="6"/>
        <v>33</v>
      </c>
      <c r="D346" s="23">
        <f t="shared" si="7"/>
        <v>116</v>
      </c>
      <c r="E346" s="24">
        <f>'相関係数'!A346</f>
        <v>44984</v>
      </c>
      <c r="F346" s="25">
        <f>'相関係数'!B346</f>
        <v>149</v>
      </c>
      <c r="G346" s="25">
        <f>'相関係数'!C346</f>
        <v>33</v>
      </c>
      <c r="T346" s="29">
        <f>A150</f>
        <v>45272</v>
      </c>
      <c r="U346" s="20">
        <f>D150</f>
        <v>116</v>
      </c>
      <c r="V346" s="30">
        <f t="shared" ref="V346:W346" si="351">B150</f>
        <v>131</v>
      </c>
      <c r="W346" s="20">
        <f t="shared" si="351"/>
        <v>15</v>
      </c>
    </row>
    <row r="347" ht="18.75" customHeight="1">
      <c r="A347" s="21">
        <f t="shared" si="4"/>
        <v>44981</v>
      </c>
      <c r="B347" s="22">
        <f t="shared" si="5"/>
        <v>147</v>
      </c>
      <c r="C347" s="22">
        <f t="shared" si="6"/>
        <v>34</v>
      </c>
      <c r="D347" s="23">
        <f t="shared" si="7"/>
        <v>113</v>
      </c>
      <c r="E347" s="24">
        <f>'相関係数'!A347</f>
        <v>44981</v>
      </c>
      <c r="F347" s="25">
        <f>'相関係数'!B347</f>
        <v>147</v>
      </c>
      <c r="G347" s="25">
        <f>'相関係数'!C347</f>
        <v>34</v>
      </c>
      <c r="T347" s="29">
        <f>A149</f>
        <v>45273</v>
      </c>
      <c r="U347" s="20">
        <f>D149</f>
        <v>119</v>
      </c>
      <c r="V347" s="30">
        <f t="shared" ref="V347:W347" si="352">B149</f>
        <v>134</v>
      </c>
      <c r="W347" s="20">
        <f t="shared" si="352"/>
        <v>15</v>
      </c>
    </row>
    <row r="348" ht="18.75" customHeight="1">
      <c r="A348" s="21">
        <f t="shared" si="4"/>
        <v>44979</v>
      </c>
      <c r="B348" s="22">
        <f t="shared" si="5"/>
        <v>149</v>
      </c>
      <c r="C348" s="22">
        <f t="shared" si="6"/>
        <v>35</v>
      </c>
      <c r="D348" s="23">
        <f t="shared" si="7"/>
        <v>114</v>
      </c>
      <c r="E348" s="24">
        <f>'相関係数'!A348</f>
        <v>44979</v>
      </c>
      <c r="F348" s="25">
        <f>'相関係数'!B348</f>
        <v>149</v>
      </c>
      <c r="G348" s="25">
        <f>'相関係数'!C348</f>
        <v>35</v>
      </c>
      <c r="T348" s="29">
        <f>A148</f>
        <v>45274</v>
      </c>
      <c r="U348" s="20">
        <f>D148</f>
        <v>112</v>
      </c>
      <c r="V348" s="30">
        <f t="shared" ref="V348:W348" si="353">B148</f>
        <v>126</v>
      </c>
      <c r="W348" s="20">
        <f t="shared" si="353"/>
        <v>14</v>
      </c>
    </row>
    <row r="349" ht="18.75" customHeight="1">
      <c r="A349" s="21">
        <f t="shared" si="4"/>
        <v>44978</v>
      </c>
      <c r="B349" s="22">
        <f t="shared" si="5"/>
        <v>147</v>
      </c>
      <c r="C349" s="22">
        <f t="shared" si="6"/>
        <v>35</v>
      </c>
      <c r="D349" s="23">
        <f t="shared" si="7"/>
        <v>112</v>
      </c>
      <c r="E349" s="24">
        <f>'相関係数'!A349</f>
        <v>44978</v>
      </c>
      <c r="F349" s="25">
        <f>'相関係数'!B349</f>
        <v>147</v>
      </c>
      <c r="G349" s="25">
        <f>'相関係数'!C349</f>
        <v>35</v>
      </c>
      <c r="T349" s="29">
        <f>A147</f>
        <v>45275</v>
      </c>
      <c r="U349" s="20">
        <f>D147</f>
        <v>114</v>
      </c>
      <c r="V349" s="30">
        <f t="shared" ref="V349:W349" si="354">B147</f>
        <v>129</v>
      </c>
      <c r="W349" s="20">
        <f t="shared" si="354"/>
        <v>15</v>
      </c>
    </row>
    <row r="350" ht="18.75" customHeight="1">
      <c r="A350" s="21">
        <f t="shared" si="4"/>
        <v>44977</v>
      </c>
      <c r="B350" s="22">
        <f t="shared" si="5"/>
        <v>147</v>
      </c>
      <c r="C350" s="22">
        <f t="shared" si="6"/>
        <v>34</v>
      </c>
      <c r="D350" s="23">
        <f t="shared" si="7"/>
        <v>113</v>
      </c>
      <c r="E350" s="24">
        <f>'相関係数'!A350</f>
        <v>44977</v>
      </c>
      <c r="F350" s="25">
        <f>'相関係数'!B350</f>
        <v>147</v>
      </c>
      <c r="G350" s="25">
        <f>'相関係数'!C350</f>
        <v>34</v>
      </c>
      <c r="T350" s="29">
        <f>A146</f>
        <v>45278</v>
      </c>
      <c r="U350" s="20">
        <f>D146</f>
        <v>115</v>
      </c>
      <c r="V350" s="30">
        <f t="shared" ref="V350:W350" si="355">B146</f>
        <v>129</v>
      </c>
      <c r="W350" s="20">
        <f t="shared" si="355"/>
        <v>14</v>
      </c>
    </row>
    <row r="351" ht="18.75" customHeight="1">
      <c r="A351" s="21">
        <f t="shared" si="4"/>
        <v>44974</v>
      </c>
      <c r="B351" s="22">
        <f t="shared" si="5"/>
        <v>147</v>
      </c>
      <c r="C351" s="22">
        <f t="shared" si="6"/>
        <v>34</v>
      </c>
      <c r="D351" s="23">
        <f t="shared" si="7"/>
        <v>113</v>
      </c>
      <c r="E351" s="24">
        <f>'相関係数'!A351</f>
        <v>44974</v>
      </c>
      <c r="F351" s="25">
        <f>'相関係数'!B351</f>
        <v>147</v>
      </c>
      <c r="G351" s="25">
        <f>'相関係数'!C351</f>
        <v>34</v>
      </c>
      <c r="T351" s="29">
        <f>A145</f>
        <v>45279</v>
      </c>
      <c r="U351" s="20">
        <f>D145</f>
        <v>115</v>
      </c>
      <c r="V351" s="30">
        <f t="shared" ref="V351:W351" si="356">B145</f>
        <v>129</v>
      </c>
      <c r="W351" s="20">
        <f t="shared" si="356"/>
        <v>14</v>
      </c>
    </row>
    <row r="352" ht="18.75" customHeight="1">
      <c r="A352" s="21">
        <f t="shared" si="4"/>
        <v>44973</v>
      </c>
      <c r="B352" s="22">
        <f t="shared" si="5"/>
        <v>147</v>
      </c>
      <c r="C352" s="22">
        <f t="shared" si="6"/>
        <v>34</v>
      </c>
      <c r="D352" s="23">
        <f t="shared" si="7"/>
        <v>113</v>
      </c>
      <c r="E352" s="24">
        <f>'相関係数'!A352</f>
        <v>44973</v>
      </c>
      <c r="F352" s="25">
        <f>'相関係数'!B352</f>
        <v>147</v>
      </c>
      <c r="G352" s="25">
        <f>'相関係数'!C352</f>
        <v>34</v>
      </c>
      <c r="T352" s="29">
        <f>A144</f>
        <v>45280</v>
      </c>
      <c r="U352" s="20">
        <f>D144</f>
        <v>112</v>
      </c>
      <c r="V352" s="30">
        <f t="shared" ref="V352:W352" si="357">B144</f>
        <v>128</v>
      </c>
      <c r="W352" s="20">
        <f t="shared" si="357"/>
        <v>16</v>
      </c>
    </row>
    <row r="353" ht="18.75" customHeight="1">
      <c r="A353" s="21">
        <f t="shared" si="4"/>
        <v>44972</v>
      </c>
      <c r="B353" s="22">
        <f t="shared" si="5"/>
        <v>144</v>
      </c>
      <c r="C353" s="22">
        <f t="shared" si="6"/>
        <v>31</v>
      </c>
      <c r="D353" s="23">
        <f t="shared" si="7"/>
        <v>113</v>
      </c>
      <c r="E353" s="24">
        <f>'相関係数'!A353</f>
        <v>44972</v>
      </c>
      <c r="F353" s="25">
        <f>'相関係数'!B353</f>
        <v>144</v>
      </c>
      <c r="G353" s="25">
        <f>'相関係数'!C353</f>
        <v>31</v>
      </c>
      <c r="T353" s="29">
        <f>A143</f>
        <v>45281</v>
      </c>
      <c r="U353" s="20">
        <f>D143</f>
        <v>111</v>
      </c>
      <c r="V353" s="30">
        <f t="shared" ref="V353:W353" si="358">B143</f>
        <v>126</v>
      </c>
      <c r="W353" s="20">
        <f t="shared" si="358"/>
        <v>15</v>
      </c>
    </row>
    <row r="354" ht="18.75" customHeight="1">
      <c r="A354" s="21">
        <f t="shared" si="4"/>
        <v>44971</v>
      </c>
      <c r="B354" s="22">
        <f t="shared" si="5"/>
        <v>151</v>
      </c>
      <c r="C354" s="22">
        <f t="shared" si="6"/>
        <v>30</v>
      </c>
      <c r="D354" s="23">
        <f t="shared" si="7"/>
        <v>121</v>
      </c>
      <c r="E354" s="24">
        <f>'相関係数'!A354</f>
        <v>44971</v>
      </c>
      <c r="F354" s="25">
        <f>'相関係数'!B354</f>
        <v>151</v>
      </c>
      <c r="G354" s="25">
        <f>'相関係数'!C354</f>
        <v>30</v>
      </c>
      <c r="T354" s="29">
        <f>A142</f>
        <v>45282</v>
      </c>
      <c r="U354" s="20">
        <f>D142</f>
        <v>107</v>
      </c>
      <c r="V354" s="30">
        <f t="shared" ref="V354:W354" si="359">B142</f>
        <v>122</v>
      </c>
      <c r="W354" s="20">
        <f t="shared" si="359"/>
        <v>15</v>
      </c>
    </row>
    <row r="355" ht="18.75" customHeight="1">
      <c r="A355" s="21">
        <f t="shared" si="4"/>
        <v>44970</v>
      </c>
      <c r="B355" s="22">
        <f t="shared" si="5"/>
        <v>151</v>
      </c>
      <c r="C355" s="22">
        <f t="shared" si="6"/>
        <v>32</v>
      </c>
      <c r="D355" s="23">
        <f t="shared" si="7"/>
        <v>119</v>
      </c>
      <c r="E355" s="24">
        <f>'相関係数'!A355</f>
        <v>44970</v>
      </c>
      <c r="F355" s="25">
        <f>'相関係数'!B355</f>
        <v>151</v>
      </c>
      <c r="G355" s="25">
        <f>'相関係数'!C355</f>
        <v>32</v>
      </c>
      <c r="T355" s="29">
        <f>A141</f>
        <v>45285</v>
      </c>
      <c r="U355" s="20">
        <f>D141</f>
        <v>110</v>
      </c>
      <c r="V355" s="30">
        <f t="shared" ref="V355:W355" si="360">B141</f>
        <v>124</v>
      </c>
      <c r="W355" s="20">
        <f t="shared" si="360"/>
        <v>14</v>
      </c>
    </row>
    <row r="356" ht="18.75" customHeight="1">
      <c r="A356" s="21">
        <f t="shared" si="4"/>
        <v>44967</v>
      </c>
      <c r="B356" s="22">
        <f t="shared" si="5"/>
        <v>169</v>
      </c>
      <c r="C356" s="22">
        <f t="shared" si="6"/>
        <v>32</v>
      </c>
      <c r="D356" s="23">
        <f t="shared" si="7"/>
        <v>137</v>
      </c>
      <c r="E356" s="24">
        <f>'相関係数'!A356</f>
        <v>44967</v>
      </c>
      <c r="F356" s="25">
        <f>'相関係数'!B356</f>
        <v>169</v>
      </c>
      <c r="G356" s="25">
        <f>'相関係数'!C356</f>
        <v>32</v>
      </c>
      <c r="T356" s="29">
        <f>A140</f>
        <v>45286</v>
      </c>
      <c r="U356" s="20">
        <f>D140</f>
        <v>106</v>
      </c>
      <c r="V356" s="30">
        <f t="shared" ref="V356:W356" si="361">B140</f>
        <v>121</v>
      </c>
      <c r="W356" s="20">
        <f t="shared" si="361"/>
        <v>15</v>
      </c>
    </row>
    <row r="357" ht="18.75" customHeight="1">
      <c r="A357" s="21">
        <f t="shared" si="4"/>
        <v>44966</v>
      </c>
      <c r="B357" s="22">
        <f t="shared" si="5"/>
        <v>174</v>
      </c>
      <c r="C357" s="22">
        <f t="shared" si="6"/>
        <v>34</v>
      </c>
      <c r="D357" s="23">
        <f t="shared" si="7"/>
        <v>140</v>
      </c>
      <c r="E357" s="24">
        <f>'相関係数'!A357</f>
        <v>44966</v>
      </c>
      <c r="F357" s="25">
        <f>'相関係数'!B357</f>
        <v>174</v>
      </c>
      <c r="G357" s="25">
        <f>'相関係数'!C357</f>
        <v>34</v>
      </c>
      <c r="T357" s="29">
        <f>A139</f>
        <v>45287</v>
      </c>
      <c r="U357" s="20">
        <f>D139</f>
        <v>111</v>
      </c>
      <c r="V357" s="30">
        <f t="shared" ref="V357:W357" si="362">B139</f>
        <v>126</v>
      </c>
      <c r="W357" s="20">
        <f t="shared" si="362"/>
        <v>15</v>
      </c>
    </row>
    <row r="358" ht="18.75" customHeight="1">
      <c r="A358" s="21">
        <f t="shared" si="4"/>
        <v>44965</v>
      </c>
      <c r="B358" s="22">
        <f t="shared" si="5"/>
        <v>169</v>
      </c>
      <c r="C358" s="22">
        <f t="shared" si="6"/>
        <v>34</v>
      </c>
      <c r="D358" s="23">
        <f t="shared" si="7"/>
        <v>135</v>
      </c>
      <c r="E358" s="24">
        <f>'相関係数'!A358</f>
        <v>44965</v>
      </c>
      <c r="F358" s="25">
        <f>'相関係数'!B358</f>
        <v>169</v>
      </c>
      <c r="G358" s="25">
        <f>'相関係数'!C358</f>
        <v>34</v>
      </c>
      <c r="T358" s="29">
        <f>A138</f>
        <v>45288</v>
      </c>
      <c r="U358" s="20">
        <f>D138</f>
        <v>112</v>
      </c>
      <c r="V358" s="30">
        <f t="shared" ref="V358:W358" si="363">B138</f>
        <v>128</v>
      </c>
      <c r="W358" s="20">
        <f t="shared" si="363"/>
        <v>16</v>
      </c>
    </row>
    <row r="359" ht="18.75" customHeight="1">
      <c r="A359" s="21">
        <f t="shared" si="4"/>
        <v>44964</v>
      </c>
      <c r="B359" s="22">
        <f t="shared" si="5"/>
        <v>167</v>
      </c>
      <c r="C359" s="22">
        <f t="shared" si="6"/>
        <v>35</v>
      </c>
      <c r="D359" s="23">
        <f t="shared" si="7"/>
        <v>132</v>
      </c>
      <c r="E359" s="24">
        <f>'相関係数'!A359</f>
        <v>44964</v>
      </c>
      <c r="F359" s="25">
        <f>'相関係数'!B359</f>
        <v>167</v>
      </c>
      <c r="G359" s="25">
        <f>'相関係数'!C359</f>
        <v>35</v>
      </c>
      <c r="T359" s="29">
        <f>A137</f>
        <v>45289</v>
      </c>
      <c r="U359" s="20">
        <f>D137</f>
        <v>113</v>
      </c>
      <c r="V359" s="30">
        <f t="shared" ref="V359:W359" si="364">B137</f>
        <v>130</v>
      </c>
      <c r="W359" s="20">
        <f t="shared" si="364"/>
        <v>17</v>
      </c>
    </row>
    <row r="360" ht="18.75" customHeight="1">
      <c r="A360" s="21">
        <f t="shared" si="4"/>
        <v>44963</v>
      </c>
      <c r="B360" s="22">
        <f t="shared" si="5"/>
        <v>167</v>
      </c>
      <c r="C360" s="22">
        <f t="shared" si="6"/>
        <v>36</v>
      </c>
      <c r="D360" s="23">
        <f t="shared" si="7"/>
        <v>131</v>
      </c>
      <c r="E360" s="24">
        <f>'相関係数'!A360</f>
        <v>44963</v>
      </c>
      <c r="F360" s="25">
        <f>'相関係数'!B360</f>
        <v>167</v>
      </c>
      <c r="G360" s="25">
        <f>'相関係数'!C360</f>
        <v>36</v>
      </c>
      <c r="T360" s="29">
        <f>A136</f>
        <v>45295</v>
      </c>
      <c r="U360" s="20">
        <f>D136</f>
        <v>114</v>
      </c>
      <c r="V360" s="30">
        <f t="shared" ref="V360:W360" si="365">B136</f>
        <v>130</v>
      </c>
      <c r="W360" s="20">
        <f t="shared" si="365"/>
        <v>16</v>
      </c>
    </row>
    <row r="361" ht="18.75" customHeight="1">
      <c r="A361" s="21">
        <f t="shared" si="4"/>
        <v>44960</v>
      </c>
      <c r="B361" s="22">
        <f t="shared" si="5"/>
        <v>169</v>
      </c>
      <c r="C361" s="22">
        <f t="shared" si="6"/>
        <v>37</v>
      </c>
      <c r="D361" s="23">
        <f t="shared" si="7"/>
        <v>132</v>
      </c>
      <c r="E361" s="24">
        <f>'相関係数'!A361</f>
        <v>44960</v>
      </c>
      <c r="F361" s="25">
        <f>'相関係数'!B361</f>
        <v>169</v>
      </c>
      <c r="G361" s="25">
        <f>'相関係数'!C361</f>
        <v>37</v>
      </c>
      <c r="T361" s="29">
        <f>A135</f>
        <v>45296</v>
      </c>
      <c r="U361" s="20">
        <f>D135</f>
        <v>110</v>
      </c>
      <c r="V361" s="30">
        <f t="shared" ref="V361:W361" si="366">B135</f>
        <v>127</v>
      </c>
      <c r="W361" s="20">
        <f t="shared" si="366"/>
        <v>17</v>
      </c>
    </row>
    <row r="362" ht="18.75" customHeight="1">
      <c r="A362" s="21">
        <f t="shared" si="4"/>
        <v>44959</v>
      </c>
      <c r="B362" s="22">
        <f t="shared" si="5"/>
        <v>162</v>
      </c>
      <c r="C362" s="22">
        <f t="shared" si="6"/>
        <v>38</v>
      </c>
      <c r="D362" s="23">
        <f t="shared" si="7"/>
        <v>124</v>
      </c>
      <c r="E362" s="24">
        <f>'相関係数'!A362</f>
        <v>44959</v>
      </c>
      <c r="F362" s="25">
        <f>'相関係数'!B362</f>
        <v>162</v>
      </c>
      <c r="G362" s="25">
        <f>'相関係数'!C362</f>
        <v>38</v>
      </c>
      <c r="T362" s="29">
        <f>A134</f>
        <v>45300</v>
      </c>
      <c r="U362" s="20">
        <f>D134</f>
        <v>114</v>
      </c>
      <c r="V362" s="30">
        <f t="shared" ref="V362:W362" si="367">B134</f>
        <v>131</v>
      </c>
      <c r="W362" s="20">
        <f t="shared" si="367"/>
        <v>17</v>
      </c>
    </row>
    <row r="363" ht="18.75" customHeight="1">
      <c r="A363" s="21">
        <f t="shared" si="4"/>
        <v>44958</v>
      </c>
      <c r="B363" s="22">
        <f t="shared" si="5"/>
        <v>166</v>
      </c>
      <c r="C363" s="22">
        <f t="shared" si="6"/>
        <v>37</v>
      </c>
      <c r="D363" s="23">
        <f t="shared" si="7"/>
        <v>129</v>
      </c>
      <c r="E363" s="24">
        <f>'相関係数'!A363</f>
        <v>44958</v>
      </c>
      <c r="F363" s="25">
        <f>'相関係数'!B363</f>
        <v>166</v>
      </c>
      <c r="G363" s="25">
        <f>'相関係数'!C363</f>
        <v>37</v>
      </c>
      <c r="T363" s="29">
        <f>A133</f>
        <v>45301</v>
      </c>
      <c r="U363" s="20">
        <f>D133</f>
        <v>113</v>
      </c>
      <c r="V363" s="30">
        <f t="shared" ref="V363:W363" si="368">B133</f>
        <v>130</v>
      </c>
      <c r="W363" s="20">
        <f t="shared" si="368"/>
        <v>17</v>
      </c>
    </row>
    <row r="364" ht="18.75" customHeight="1">
      <c r="A364" s="21">
        <f t="shared" si="4"/>
        <v>44957</v>
      </c>
      <c r="B364" s="22">
        <f t="shared" si="5"/>
        <v>165</v>
      </c>
      <c r="C364" s="22">
        <f t="shared" si="6"/>
        <v>37</v>
      </c>
      <c r="D364" s="23">
        <f t="shared" si="7"/>
        <v>128</v>
      </c>
      <c r="E364" s="24">
        <f>'相関係数'!A364</f>
        <v>44957</v>
      </c>
      <c r="F364" s="25">
        <f>'相関係数'!B364</f>
        <v>165</v>
      </c>
      <c r="G364" s="25">
        <f>'相関係数'!C364</f>
        <v>37</v>
      </c>
      <c r="T364" s="29">
        <f>A132</f>
        <v>45302</v>
      </c>
      <c r="U364" s="20">
        <f>D132</f>
        <v>113</v>
      </c>
      <c r="V364" s="30">
        <f t="shared" ref="V364:W364" si="369">B132</f>
        <v>130</v>
      </c>
      <c r="W364" s="20">
        <f t="shared" si="369"/>
        <v>17</v>
      </c>
    </row>
    <row r="365" ht="18.75" customHeight="1">
      <c r="A365" s="21">
        <f t="shared" si="4"/>
        <v>44956</v>
      </c>
      <c r="B365" s="22">
        <f t="shared" si="5"/>
        <v>164</v>
      </c>
      <c r="C365" s="22">
        <f t="shared" si="6"/>
        <v>36</v>
      </c>
      <c r="D365" s="23">
        <f t="shared" si="7"/>
        <v>128</v>
      </c>
      <c r="E365" s="24">
        <f>'相関係数'!A365</f>
        <v>44956</v>
      </c>
      <c r="F365" s="25">
        <f>'相関係数'!B365</f>
        <v>164</v>
      </c>
      <c r="G365" s="25">
        <f>'相関係数'!C365</f>
        <v>36</v>
      </c>
      <c r="T365" s="29">
        <f>A131</f>
        <v>45303</v>
      </c>
      <c r="U365" s="20">
        <f>D131</f>
        <v>110</v>
      </c>
      <c r="V365" s="30">
        <f t="shared" ref="V365:W365" si="370">B131</f>
        <v>129</v>
      </c>
      <c r="W365" s="20">
        <f t="shared" si="370"/>
        <v>19</v>
      </c>
    </row>
    <row r="366" ht="18.75" customHeight="1">
      <c r="A366" s="21">
        <f t="shared" si="4"/>
        <v>44953</v>
      </c>
      <c r="B366" s="22">
        <f t="shared" si="5"/>
        <v>167</v>
      </c>
      <c r="C366" s="22">
        <f t="shared" si="6"/>
        <v>34</v>
      </c>
      <c r="D366" s="23">
        <f t="shared" si="7"/>
        <v>133</v>
      </c>
      <c r="E366" s="24">
        <f>'相関係数'!A366</f>
        <v>44953</v>
      </c>
      <c r="F366" s="25">
        <f>'相関係数'!B366</f>
        <v>167</v>
      </c>
      <c r="G366" s="25">
        <f>'相関係数'!C366</f>
        <v>34</v>
      </c>
      <c r="T366" s="29">
        <f>A130</f>
        <v>45306</v>
      </c>
      <c r="U366" s="20">
        <f>D130</f>
        <v>115</v>
      </c>
      <c r="V366" s="30">
        <f t="shared" ref="V366:W366" si="371">B130</f>
        <v>132</v>
      </c>
      <c r="W366" s="20">
        <f t="shared" si="371"/>
        <v>17</v>
      </c>
    </row>
    <row r="367" ht="18.75" customHeight="1">
      <c r="A367" s="21">
        <f t="shared" si="4"/>
        <v>44952</v>
      </c>
      <c r="B367" s="22">
        <f t="shared" si="5"/>
        <v>169</v>
      </c>
      <c r="C367" s="22">
        <f t="shared" si="6"/>
        <v>34</v>
      </c>
      <c r="D367" s="23">
        <f t="shared" si="7"/>
        <v>135</v>
      </c>
      <c r="E367" s="24">
        <f>'相関係数'!A367</f>
        <v>44952</v>
      </c>
      <c r="F367" s="25">
        <f>'相関係数'!B367</f>
        <v>169</v>
      </c>
      <c r="G367" s="25">
        <f>'相関係数'!C367</f>
        <v>34</v>
      </c>
      <c r="T367" s="29">
        <f>A129</f>
        <v>45307</v>
      </c>
      <c r="U367" s="20">
        <f>D129</f>
        <v>112</v>
      </c>
      <c r="V367" s="30">
        <f t="shared" ref="V367:W367" si="372">B129</f>
        <v>130</v>
      </c>
      <c r="W367" s="20">
        <f t="shared" si="372"/>
        <v>18</v>
      </c>
    </row>
    <row r="368" ht="18.75" customHeight="1">
      <c r="A368" s="21">
        <f t="shared" si="4"/>
        <v>44951</v>
      </c>
      <c r="B368" s="22">
        <f t="shared" si="5"/>
        <v>165</v>
      </c>
      <c r="C368" s="22">
        <f t="shared" si="6"/>
        <v>36</v>
      </c>
      <c r="D368" s="23">
        <f t="shared" si="7"/>
        <v>129</v>
      </c>
      <c r="E368" s="24">
        <f>'相関係数'!A368</f>
        <v>44951</v>
      </c>
      <c r="F368" s="25">
        <f>'相関係数'!B368</f>
        <v>165</v>
      </c>
      <c r="G368" s="25">
        <f>'相関係数'!C368</f>
        <v>36</v>
      </c>
      <c r="T368" s="29">
        <f>A128</f>
        <v>45308</v>
      </c>
      <c r="U368" s="20">
        <f>D128</f>
        <v>115</v>
      </c>
      <c r="V368" s="30">
        <f t="shared" ref="V368:W368" si="373">B128</f>
        <v>132</v>
      </c>
      <c r="W368" s="20">
        <f t="shared" si="373"/>
        <v>17</v>
      </c>
    </row>
    <row r="369" ht="18.75" customHeight="1">
      <c r="A369" s="21">
        <f t="shared" si="4"/>
        <v>44950</v>
      </c>
      <c r="B369" s="22">
        <f t="shared" si="5"/>
        <v>164</v>
      </c>
      <c r="C369" s="22">
        <f t="shared" si="6"/>
        <v>36</v>
      </c>
      <c r="D369" s="23">
        <f t="shared" si="7"/>
        <v>128</v>
      </c>
      <c r="E369" s="24">
        <f>'相関係数'!A369</f>
        <v>44950</v>
      </c>
      <c r="F369" s="25">
        <f>'相関係数'!B369</f>
        <v>164</v>
      </c>
      <c r="G369" s="25">
        <f>'相関係数'!C369</f>
        <v>36</v>
      </c>
      <c r="T369" s="29">
        <f>A127</f>
        <v>45309</v>
      </c>
      <c r="U369" s="20">
        <f>D127</f>
        <v>117</v>
      </c>
      <c r="V369" s="30">
        <f t="shared" ref="V369:W369" si="374">B127</f>
        <v>134</v>
      </c>
      <c r="W369" s="20">
        <f t="shared" si="374"/>
        <v>17</v>
      </c>
    </row>
    <row r="370" ht="18.75" customHeight="1">
      <c r="A370" s="21">
        <f t="shared" si="4"/>
        <v>44949</v>
      </c>
      <c r="B370" s="22">
        <f t="shared" si="5"/>
        <v>167</v>
      </c>
      <c r="C370" s="22">
        <f t="shared" si="6"/>
        <v>39</v>
      </c>
      <c r="D370" s="23">
        <f t="shared" si="7"/>
        <v>128</v>
      </c>
      <c r="E370" s="24">
        <f>'相関係数'!A370</f>
        <v>44949</v>
      </c>
      <c r="F370" s="25">
        <f>'相関係数'!B370</f>
        <v>167</v>
      </c>
      <c r="G370" s="25">
        <f>'相関係数'!C370</f>
        <v>39</v>
      </c>
      <c r="T370" s="29">
        <f>A126</f>
        <v>45310</v>
      </c>
      <c r="U370" s="20">
        <f>D126</f>
        <v>123</v>
      </c>
      <c r="V370" s="30">
        <f t="shared" ref="V370:W370" si="375">B126</f>
        <v>140</v>
      </c>
      <c r="W370" s="20">
        <f t="shared" si="375"/>
        <v>17</v>
      </c>
    </row>
    <row r="371" ht="18.75" customHeight="1">
      <c r="A371" s="21">
        <f t="shared" si="4"/>
        <v>44946</v>
      </c>
      <c r="B371" s="22">
        <f t="shared" si="5"/>
        <v>165</v>
      </c>
      <c r="C371" s="22">
        <f t="shared" si="6"/>
        <v>39</v>
      </c>
      <c r="D371" s="23">
        <f t="shared" si="7"/>
        <v>126</v>
      </c>
      <c r="E371" s="24">
        <f>'相関係数'!A371</f>
        <v>44946</v>
      </c>
      <c r="F371" s="25">
        <f>'相関係数'!B371</f>
        <v>165</v>
      </c>
      <c r="G371" s="25">
        <f>'相関係数'!C371</f>
        <v>39</v>
      </c>
      <c r="T371" s="29">
        <f>A125</f>
        <v>45313</v>
      </c>
      <c r="U371" s="20">
        <f>D125</f>
        <v>129</v>
      </c>
      <c r="V371" s="30">
        <f t="shared" ref="V371:W371" si="376">B125</f>
        <v>146</v>
      </c>
      <c r="W371" s="20">
        <f t="shared" si="376"/>
        <v>17</v>
      </c>
    </row>
    <row r="372" ht="18.75" customHeight="1">
      <c r="A372" s="21">
        <f t="shared" si="4"/>
        <v>44945</v>
      </c>
      <c r="B372" s="22">
        <f t="shared" si="5"/>
        <v>164</v>
      </c>
      <c r="C372" s="22">
        <f t="shared" si="6"/>
        <v>41</v>
      </c>
      <c r="D372" s="23">
        <f t="shared" si="7"/>
        <v>123</v>
      </c>
      <c r="E372" s="24">
        <f>'相関係数'!A372</f>
        <v>44945</v>
      </c>
      <c r="F372" s="25">
        <f>'相関係数'!B372</f>
        <v>164</v>
      </c>
      <c r="G372" s="25">
        <f>'相関係数'!C372</f>
        <v>41</v>
      </c>
      <c r="T372" s="29">
        <f>A124</f>
        <v>45314</v>
      </c>
      <c r="U372" s="20">
        <f>D124</f>
        <v>136</v>
      </c>
      <c r="V372" s="30">
        <f t="shared" ref="V372:W372" si="377">B124</f>
        <v>153</v>
      </c>
      <c r="W372" s="20">
        <f t="shared" si="377"/>
        <v>17</v>
      </c>
    </row>
    <row r="373" ht="18.75" customHeight="1">
      <c r="A373" s="21">
        <f t="shared" si="4"/>
        <v>44944</v>
      </c>
      <c r="B373" s="22">
        <f t="shared" si="5"/>
        <v>163</v>
      </c>
      <c r="C373" s="22">
        <f t="shared" si="6"/>
        <v>44</v>
      </c>
      <c r="D373" s="23">
        <f t="shared" si="7"/>
        <v>119</v>
      </c>
      <c r="E373" s="24">
        <f>'相関係数'!A373</f>
        <v>44944</v>
      </c>
      <c r="F373" s="25">
        <f>'相関係数'!B373</f>
        <v>163</v>
      </c>
      <c r="G373" s="25">
        <f>'相関係数'!C373</f>
        <v>44</v>
      </c>
      <c r="T373" s="29">
        <f>A123</f>
        <v>45315</v>
      </c>
      <c r="U373" s="20">
        <f>D123</f>
        <v>128</v>
      </c>
      <c r="V373" s="30">
        <f t="shared" ref="V373:W373" si="378">B123</f>
        <v>146</v>
      </c>
      <c r="W373" s="20">
        <f t="shared" si="378"/>
        <v>18</v>
      </c>
    </row>
    <row r="374" ht="18.75" customHeight="1">
      <c r="A374" s="21">
        <f t="shared" si="4"/>
        <v>44943</v>
      </c>
      <c r="B374" s="22">
        <f t="shared" si="5"/>
        <v>160</v>
      </c>
      <c r="C374" s="22">
        <f t="shared" si="6"/>
        <v>45</v>
      </c>
      <c r="D374" s="23">
        <f t="shared" si="7"/>
        <v>115</v>
      </c>
      <c r="E374" s="24">
        <f>'相関係数'!A374</f>
        <v>44943</v>
      </c>
      <c r="F374" s="25">
        <f>'相関係数'!B374</f>
        <v>160</v>
      </c>
      <c r="G374" s="25">
        <f>'相関係数'!C374</f>
        <v>45</v>
      </c>
      <c r="T374" s="29">
        <f>A122</f>
        <v>45316</v>
      </c>
      <c r="U374" s="20">
        <f>D122</f>
        <v>126</v>
      </c>
      <c r="V374" s="30">
        <f t="shared" ref="V374:W374" si="379">B122</f>
        <v>143</v>
      </c>
      <c r="W374" s="20">
        <f t="shared" si="379"/>
        <v>17</v>
      </c>
    </row>
    <row r="375" ht="18.75" customHeight="1">
      <c r="A375" s="21">
        <f t="shared" si="4"/>
        <v>44942</v>
      </c>
      <c r="B375" s="22">
        <f t="shared" si="5"/>
        <v>161</v>
      </c>
      <c r="C375" s="22">
        <f t="shared" si="6"/>
        <v>45</v>
      </c>
      <c r="D375" s="23">
        <f t="shared" si="7"/>
        <v>116</v>
      </c>
      <c r="E375" s="24">
        <f>'相関係数'!A375</f>
        <v>44942</v>
      </c>
      <c r="F375" s="25">
        <f>'相関係数'!B375</f>
        <v>161</v>
      </c>
      <c r="G375" s="25">
        <f>'相関係数'!C375</f>
        <v>45</v>
      </c>
      <c r="T375" s="29">
        <f>A121</f>
        <v>45317</v>
      </c>
      <c r="U375" s="20">
        <f>D121</f>
        <v>122</v>
      </c>
      <c r="V375" s="30">
        <f t="shared" ref="V375:W375" si="380">B121</f>
        <v>140</v>
      </c>
      <c r="W375" s="20">
        <f t="shared" si="380"/>
        <v>18</v>
      </c>
    </row>
    <row r="376" ht="18.75" customHeight="1">
      <c r="A376" s="21">
        <f t="shared" si="4"/>
        <v>44939</v>
      </c>
      <c r="B376" s="22">
        <f t="shared" si="5"/>
        <v>164</v>
      </c>
      <c r="C376" s="22">
        <f t="shared" si="6"/>
        <v>46</v>
      </c>
      <c r="D376" s="23">
        <f t="shared" si="7"/>
        <v>118</v>
      </c>
      <c r="E376" s="24">
        <f>'相関係数'!A376</f>
        <v>44939</v>
      </c>
      <c r="F376" s="25">
        <f>'相関係数'!B376</f>
        <v>164</v>
      </c>
      <c r="G376" s="25">
        <f>'相関係数'!C376</f>
        <v>46</v>
      </c>
      <c r="T376" s="29">
        <f>A120</f>
        <v>45320</v>
      </c>
      <c r="U376" s="20">
        <f>D120</f>
        <v>122</v>
      </c>
      <c r="V376" s="30">
        <f t="shared" ref="V376:W376" si="381">B120</f>
        <v>139</v>
      </c>
      <c r="W376" s="20">
        <f t="shared" si="381"/>
        <v>17</v>
      </c>
    </row>
    <row r="377" ht="18.75" customHeight="1">
      <c r="A377" s="21">
        <f t="shared" si="4"/>
        <v>44938</v>
      </c>
      <c r="B377" s="22">
        <f t="shared" si="5"/>
        <v>165</v>
      </c>
      <c r="C377" s="22">
        <f t="shared" si="6"/>
        <v>46</v>
      </c>
      <c r="D377" s="23">
        <f t="shared" si="7"/>
        <v>119</v>
      </c>
      <c r="E377" s="24">
        <f>'相関係数'!A377</f>
        <v>44938</v>
      </c>
      <c r="F377" s="25">
        <f>'相関係数'!B377</f>
        <v>165</v>
      </c>
      <c r="G377" s="25">
        <f>'相関係数'!C377</f>
        <v>46</v>
      </c>
      <c r="T377" s="29">
        <f>A119</f>
        <v>45321</v>
      </c>
      <c r="U377" s="20">
        <f>D119</f>
        <v>119</v>
      </c>
      <c r="V377" s="30">
        <f t="shared" ref="V377:W377" si="382">B119</f>
        <v>136</v>
      </c>
      <c r="W377" s="20">
        <f t="shared" si="382"/>
        <v>17</v>
      </c>
    </row>
    <row r="378" ht="18.75" customHeight="1">
      <c r="A378" s="21">
        <f t="shared" si="4"/>
        <v>44937</v>
      </c>
      <c r="B378" s="22">
        <f t="shared" si="5"/>
        <v>166</v>
      </c>
      <c r="C378" s="22">
        <f t="shared" si="6"/>
        <v>46</v>
      </c>
      <c r="D378" s="23">
        <f t="shared" si="7"/>
        <v>120</v>
      </c>
      <c r="E378" s="24">
        <f>'相関係数'!A378</f>
        <v>44937</v>
      </c>
      <c r="F378" s="25">
        <f>'相関係数'!B378</f>
        <v>166</v>
      </c>
      <c r="G378" s="25">
        <f>'相関係数'!C378</f>
        <v>46</v>
      </c>
      <c r="T378" s="29">
        <f>A118</f>
        <v>45322</v>
      </c>
      <c r="U378" s="20">
        <f>D118</f>
        <v>116</v>
      </c>
      <c r="V378" s="30">
        <f t="shared" ref="V378:W378" si="383">B118</f>
        <v>134</v>
      </c>
      <c r="W378" s="20">
        <f t="shared" si="383"/>
        <v>18</v>
      </c>
    </row>
    <row r="379" ht="18.75" customHeight="1">
      <c r="A379" s="21">
        <f t="shared" si="4"/>
        <v>44936</v>
      </c>
      <c r="B379" s="22">
        <f t="shared" si="5"/>
        <v>166</v>
      </c>
      <c r="C379" s="22">
        <f t="shared" si="6"/>
        <v>46</v>
      </c>
      <c r="D379" s="23">
        <f t="shared" si="7"/>
        <v>120</v>
      </c>
      <c r="E379" s="24">
        <f>'相関係数'!A379</f>
        <v>44936</v>
      </c>
      <c r="F379" s="25">
        <f>'相関係数'!B379</f>
        <v>166</v>
      </c>
      <c r="G379" s="25">
        <f>'相関係数'!C379</f>
        <v>46</v>
      </c>
      <c r="T379" s="29">
        <f>A117</f>
        <v>45323</v>
      </c>
      <c r="U379" s="20">
        <f>D117</f>
        <v>115</v>
      </c>
      <c r="V379" s="30">
        <f t="shared" ref="V379:W379" si="384">B117</f>
        <v>132</v>
      </c>
      <c r="W379" s="20">
        <f t="shared" si="384"/>
        <v>17</v>
      </c>
    </row>
    <row r="380" ht="18.75" customHeight="1">
      <c r="A380" s="21">
        <f t="shared" si="4"/>
        <v>44932</v>
      </c>
      <c r="B380" s="22">
        <f t="shared" si="5"/>
        <v>162</v>
      </c>
      <c r="C380" s="22">
        <f t="shared" si="6"/>
        <v>46</v>
      </c>
      <c r="D380" s="23">
        <f t="shared" si="7"/>
        <v>116</v>
      </c>
      <c r="E380" s="24">
        <f>'相関係数'!A380</f>
        <v>44932</v>
      </c>
      <c r="F380" s="25">
        <f>'相関係数'!B380</f>
        <v>162</v>
      </c>
      <c r="G380" s="25">
        <f>'相関係数'!C380</f>
        <v>46</v>
      </c>
      <c r="T380" s="29">
        <f>A116</f>
        <v>45324</v>
      </c>
      <c r="U380" s="20">
        <f>D116</f>
        <v>116</v>
      </c>
      <c r="V380" s="30">
        <f t="shared" ref="V380:W380" si="385">B116</f>
        <v>133</v>
      </c>
      <c r="W380" s="20">
        <f t="shared" si="385"/>
        <v>17</v>
      </c>
    </row>
    <row r="381" ht="18.75" customHeight="1">
      <c r="A381" s="21">
        <f t="shared" si="4"/>
        <v>44931</v>
      </c>
      <c r="B381" s="22">
        <f t="shared" si="5"/>
        <v>160</v>
      </c>
      <c r="C381" s="22">
        <f t="shared" si="6"/>
        <v>46</v>
      </c>
      <c r="D381" s="23">
        <f t="shared" si="7"/>
        <v>114</v>
      </c>
      <c r="E381" s="24">
        <f>'相関係数'!A381</f>
        <v>44931</v>
      </c>
      <c r="F381" s="25">
        <f>'相関係数'!B381</f>
        <v>160</v>
      </c>
      <c r="G381" s="25">
        <f>'相関係数'!C381</f>
        <v>46</v>
      </c>
      <c r="T381" s="29">
        <f>A115</f>
        <v>45327</v>
      </c>
      <c r="U381" s="20">
        <f>D115</f>
        <v>114</v>
      </c>
      <c r="V381" s="30">
        <f t="shared" ref="V381:W381" si="386">B115</f>
        <v>131</v>
      </c>
      <c r="W381" s="20">
        <f t="shared" si="386"/>
        <v>17</v>
      </c>
    </row>
    <row r="382" ht="18.75" customHeight="1">
      <c r="A382" s="21">
        <f t="shared" si="4"/>
        <v>44930</v>
      </c>
      <c r="B382" s="22">
        <f t="shared" si="5"/>
        <v>160</v>
      </c>
      <c r="C382" s="22">
        <f t="shared" si="6"/>
        <v>47</v>
      </c>
      <c r="D382" s="23">
        <f t="shared" si="7"/>
        <v>113</v>
      </c>
      <c r="E382" s="24">
        <f>'相関係数'!A382</f>
        <v>44930</v>
      </c>
      <c r="F382" s="25">
        <f>'相関係数'!B382</f>
        <v>160</v>
      </c>
      <c r="G382" s="25">
        <f>'相関係数'!C382</f>
        <v>47</v>
      </c>
      <c r="T382" s="29">
        <f>A114</f>
        <v>45328</v>
      </c>
      <c r="U382" s="20">
        <f>D114</f>
        <v>110</v>
      </c>
      <c r="V382" s="30">
        <f t="shared" ref="V382:W382" si="387">B114</f>
        <v>127</v>
      </c>
      <c r="W382" s="20">
        <f t="shared" si="387"/>
        <v>17</v>
      </c>
    </row>
    <row r="383" ht="18.75" customHeight="1">
      <c r="A383" s="21">
        <f t="shared" si="4"/>
        <v>44925</v>
      </c>
      <c r="B383" s="22">
        <f t="shared" si="5"/>
        <v>163</v>
      </c>
      <c r="C383" s="22">
        <f t="shared" si="6"/>
        <v>47</v>
      </c>
      <c r="D383" s="23">
        <f t="shared" si="7"/>
        <v>116</v>
      </c>
      <c r="E383" s="24">
        <f>'相関係数'!A383</f>
        <v>44925</v>
      </c>
      <c r="F383" s="25">
        <f>'相関係数'!B383</f>
        <v>163</v>
      </c>
      <c r="G383" s="25">
        <f>'相関係数'!C383</f>
        <v>47</v>
      </c>
      <c r="T383" s="29">
        <f>A113</f>
        <v>45329</v>
      </c>
      <c r="U383" s="20">
        <f>D113</f>
        <v>110</v>
      </c>
      <c r="V383" s="30">
        <f t="shared" ref="V383:W383" si="388">B113</f>
        <v>126</v>
      </c>
      <c r="W383" s="20">
        <f t="shared" si="388"/>
        <v>16</v>
      </c>
    </row>
    <row r="384" ht="18.75" customHeight="1">
      <c r="A384" s="21">
        <f t="shared" si="4"/>
        <v>44924</v>
      </c>
      <c r="B384" s="22">
        <f t="shared" si="5"/>
        <v>162</v>
      </c>
      <c r="C384" s="22">
        <f t="shared" si="6"/>
        <v>48</v>
      </c>
      <c r="D384" s="23">
        <f t="shared" si="7"/>
        <v>114</v>
      </c>
      <c r="E384" s="24">
        <f>'相関係数'!A384</f>
        <v>44924</v>
      </c>
      <c r="F384" s="25">
        <f>'相関係数'!B384</f>
        <v>162</v>
      </c>
      <c r="G384" s="25">
        <f>'相関係数'!C384</f>
        <v>48</v>
      </c>
      <c r="T384" s="29">
        <f>A112</f>
        <v>45330</v>
      </c>
      <c r="U384" s="20">
        <f>D112</f>
        <v>110</v>
      </c>
      <c r="V384" s="30">
        <f t="shared" ref="V384:W384" si="389">B112</f>
        <v>126</v>
      </c>
      <c r="W384" s="20">
        <f t="shared" si="389"/>
        <v>16</v>
      </c>
    </row>
    <row r="385" ht="18.75" customHeight="1">
      <c r="A385" s="21">
        <f t="shared" si="4"/>
        <v>44923</v>
      </c>
      <c r="B385" s="22">
        <f t="shared" si="5"/>
        <v>157</v>
      </c>
      <c r="C385" s="22">
        <f t="shared" si="6"/>
        <v>46</v>
      </c>
      <c r="D385" s="23">
        <f t="shared" si="7"/>
        <v>111</v>
      </c>
      <c r="E385" s="24">
        <f>'相関係数'!A385</f>
        <v>44923</v>
      </c>
      <c r="F385" s="25">
        <f>'相関係数'!B385</f>
        <v>157</v>
      </c>
      <c r="G385" s="25">
        <f>'相関係数'!C385</f>
        <v>46</v>
      </c>
      <c r="T385" s="29">
        <f>A111</f>
        <v>45331</v>
      </c>
      <c r="U385" s="20">
        <f>D111</f>
        <v>108</v>
      </c>
      <c r="V385" s="30">
        <f t="shared" ref="V385:W385" si="390">B111</f>
        <v>124</v>
      </c>
      <c r="W385" s="20">
        <f t="shared" si="390"/>
        <v>16</v>
      </c>
    </row>
    <row r="386" ht="18.75" customHeight="1">
      <c r="A386" s="21">
        <f t="shared" si="4"/>
        <v>44922</v>
      </c>
      <c r="B386" s="22">
        <f t="shared" si="5"/>
        <v>159</v>
      </c>
      <c r="C386" s="22">
        <f t="shared" si="6"/>
        <v>47</v>
      </c>
      <c r="D386" s="23">
        <f t="shared" si="7"/>
        <v>112</v>
      </c>
      <c r="E386" s="24">
        <f>'相関係数'!A386</f>
        <v>44922</v>
      </c>
      <c r="F386" s="25">
        <f>'相関係数'!B386</f>
        <v>159</v>
      </c>
      <c r="G386" s="25">
        <f>'相関係数'!C386</f>
        <v>47</v>
      </c>
      <c r="T386" s="29">
        <f>A110</f>
        <v>45335</v>
      </c>
      <c r="U386" s="20">
        <f>D110</f>
        <v>131</v>
      </c>
      <c r="V386" s="30">
        <f t="shared" ref="V386:W386" si="391">B110</f>
        <v>147</v>
      </c>
      <c r="W386" s="20">
        <f t="shared" si="391"/>
        <v>16</v>
      </c>
    </row>
    <row r="387" ht="18.75" customHeight="1">
      <c r="A387" s="21">
        <f t="shared" si="4"/>
        <v>44921</v>
      </c>
      <c r="B387" s="22">
        <f t="shared" si="5"/>
        <v>158</v>
      </c>
      <c r="C387" s="22">
        <f t="shared" si="6"/>
        <v>48</v>
      </c>
      <c r="D387" s="23">
        <f t="shared" si="7"/>
        <v>110</v>
      </c>
      <c r="E387" s="24">
        <f>'相関係数'!A387</f>
        <v>44921</v>
      </c>
      <c r="F387" s="25">
        <f>'相関係数'!B387</f>
        <v>158</v>
      </c>
      <c r="G387" s="25">
        <f>'相関係数'!C387</f>
        <v>48</v>
      </c>
      <c r="T387" s="29">
        <f>A109</f>
        <v>45336</v>
      </c>
      <c r="U387" s="20">
        <f>D109</f>
        <v>159</v>
      </c>
      <c r="V387" s="30">
        <f t="shared" ref="V387:W387" si="392">B109</f>
        <v>174</v>
      </c>
      <c r="W387" s="20">
        <f t="shared" si="392"/>
        <v>15</v>
      </c>
    </row>
    <row r="388" ht="18.75" customHeight="1">
      <c r="A388" s="21">
        <f t="shared" si="4"/>
        <v>44918</v>
      </c>
      <c r="B388" s="22">
        <f t="shared" si="5"/>
        <v>159</v>
      </c>
      <c r="C388" s="22">
        <f t="shared" si="6"/>
        <v>48</v>
      </c>
      <c r="D388" s="23">
        <f t="shared" si="7"/>
        <v>111</v>
      </c>
      <c r="E388" s="24">
        <f>'相関係数'!A388</f>
        <v>44918</v>
      </c>
      <c r="F388" s="25">
        <f>'相関係数'!B388</f>
        <v>159</v>
      </c>
      <c r="G388" s="25">
        <f>'相関係数'!C388</f>
        <v>48</v>
      </c>
      <c r="T388" s="29">
        <f>A108</f>
        <v>45337</v>
      </c>
      <c r="U388" s="20">
        <f>D108</f>
        <v>148</v>
      </c>
      <c r="V388" s="30">
        <f t="shared" ref="V388:W388" si="393">B108</f>
        <v>163</v>
      </c>
      <c r="W388" s="20">
        <f t="shared" si="393"/>
        <v>15</v>
      </c>
    </row>
    <row r="389" ht="18.75" customHeight="1">
      <c r="A389" s="21">
        <f t="shared" si="4"/>
        <v>44917</v>
      </c>
      <c r="B389" s="22">
        <f t="shared" si="5"/>
        <v>162</v>
      </c>
      <c r="C389" s="22">
        <f t="shared" si="6"/>
        <v>48</v>
      </c>
      <c r="D389" s="23">
        <f t="shared" si="7"/>
        <v>114</v>
      </c>
      <c r="E389" s="24">
        <f>'相関係数'!A389</f>
        <v>44917</v>
      </c>
      <c r="F389" s="25">
        <f>'相関係数'!B389</f>
        <v>162</v>
      </c>
      <c r="G389" s="25">
        <f>'相関係数'!C389</f>
        <v>48</v>
      </c>
      <c r="T389" s="29">
        <f>A107</f>
        <v>45338</v>
      </c>
      <c r="U389" s="20">
        <f>D107</f>
        <v>153</v>
      </c>
      <c r="V389" s="30">
        <f t="shared" ref="V389:W389" si="394">B107</f>
        <v>169</v>
      </c>
      <c r="W389" s="20">
        <f t="shared" si="394"/>
        <v>16</v>
      </c>
    </row>
    <row r="390" ht="18.75" customHeight="1">
      <c r="A390" s="21">
        <f t="shared" si="4"/>
        <v>44916</v>
      </c>
      <c r="B390" s="22">
        <f t="shared" si="5"/>
        <v>163</v>
      </c>
      <c r="C390" s="22">
        <f t="shared" si="6"/>
        <v>48</v>
      </c>
      <c r="D390" s="23">
        <f t="shared" si="7"/>
        <v>115</v>
      </c>
      <c r="E390" s="24">
        <f>'相関係数'!A390</f>
        <v>44916</v>
      </c>
      <c r="F390" s="25">
        <f>'相関係数'!B390</f>
        <v>163</v>
      </c>
      <c r="G390" s="25">
        <f>'相関係数'!C390</f>
        <v>48</v>
      </c>
      <c r="T390" s="29">
        <f>A106</f>
        <v>45341</v>
      </c>
      <c r="U390" s="20">
        <f>D106</f>
        <v>161</v>
      </c>
      <c r="V390" s="30">
        <f t="shared" ref="V390:W390" si="395">B106</f>
        <v>176</v>
      </c>
      <c r="W390" s="20">
        <f t="shared" si="395"/>
        <v>15</v>
      </c>
    </row>
    <row r="391" ht="18.75" customHeight="1">
      <c r="A391" s="21">
        <f t="shared" si="4"/>
        <v>44915</v>
      </c>
      <c r="B391" s="22">
        <f t="shared" si="5"/>
        <v>165</v>
      </c>
      <c r="C391" s="22">
        <f t="shared" si="6"/>
        <v>48</v>
      </c>
      <c r="D391" s="23">
        <f t="shared" si="7"/>
        <v>117</v>
      </c>
      <c r="E391" s="24">
        <f>'相関係数'!A391</f>
        <v>44915</v>
      </c>
      <c r="F391" s="25">
        <f>'相関係数'!B391</f>
        <v>165</v>
      </c>
      <c r="G391" s="25">
        <f>'相関係数'!C391</f>
        <v>48</v>
      </c>
      <c r="T391" s="29">
        <f>A105</f>
        <v>45342</v>
      </c>
      <c r="U391" s="20">
        <f>D105</f>
        <v>154</v>
      </c>
      <c r="V391" s="30">
        <f t="shared" ref="V391:W391" si="396">B105</f>
        <v>170</v>
      </c>
      <c r="W391" s="20">
        <f t="shared" si="396"/>
        <v>16</v>
      </c>
    </row>
    <row r="392" ht="18.75" customHeight="1">
      <c r="A392" s="21">
        <f t="shared" si="4"/>
        <v>44914</v>
      </c>
      <c r="B392" s="22">
        <f t="shared" si="5"/>
        <v>166</v>
      </c>
      <c r="C392" s="22">
        <f t="shared" si="6"/>
        <v>50</v>
      </c>
      <c r="D392" s="23">
        <f t="shared" si="7"/>
        <v>116</v>
      </c>
      <c r="E392" s="24">
        <f>'相関係数'!A392</f>
        <v>44914</v>
      </c>
      <c r="F392" s="25">
        <f>'相関係数'!B392</f>
        <v>166</v>
      </c>
      <c r="G392" s="25">
        <f>'相関係数'!C392</f>
        <v>50</v>
      </c>
      <c r="T392" s="29">
        <f>A104</f>
        <v>45343</v>
      </c>
      <c r="U392" s="20">
        <f>D104</f>
        <v>141</v>
      </c>
      <c r="V392" s="30">
        <f t="shared" ref="V392:W392" si="397">B104</f>
        <v>159</v>
      </c>
      <c r="W392" s="20">
        <f t="shared" si="397"/>
        <v>18</v>
      </c>
    </row>
    <row r="393" ht="18.75" customHeight="1">
      <c r="A393" s="21">
        <f t="shared" si="4"/>
        <v>44911</v>
      </c>
      <c r="B393" s="22">
        <f t="shared" si="5"/>
        <v>178</v>
      </c>
      <c r="C393" s="22">
        <f t="shared" si="6"/>
        <v>51</v>
      </c>
      <c r="D393" s="23">
        <f t="shared" si="7"/>
        <v>127</v>
      </c>
      <c r="E393" s="24">
        <f>'相関係数'!A393</f>
        <v>44911</v>
      </c>
      <c r="F393" s="25">
        <f>'相関係数'!B393</f>
        <v>178</v>
      </c>
      <c r="G393" s="25">
        <f>'相関係数'!C393</f>
        <v>51</v>
      </c>
      <c r="T393" s="29">
        <f>A103</f>
        <v>45344</v>
      </c>
      <c r="U393" s="20">
        <f>D103</f>
        <v>137</v>
      </c>
      <c r="V393" s="30">
        <f t="shared" ref="V393:W393" si="398">B103</f>
        <v>154</v>
      </c>
      <c r="W393" s="20">
        <f t="shared" si="398"/>
        <v>17</v>
      </c>
    </row>
    <row r="394" ht="18.75" customHeight="1">
      <c r="A394" s="21">
        <f t="shared" si="4"/>
        <v>44910</v>
      </c>
      <c r="B394" s="22">
        <f t="shared" si="5"/>
        <v>168</v>
      </c>
      <c r="C394" s="22">
        <f t="shared" si="6"/>
        <v>52</v>
      </c>
      <c r="D394" s="23">
        <f t="shared" si="7"/>
        <v>116</v>
      </c>
      <c r="E394" s="24">
        <f>'相関係数'!A394</f>
        <v>44910</v>
      </c>
      <c r="F394" s="25">
        <f>'相関係数'!B394</f>
        <v>168</v>
      </c>
      <c r="G394" s="25">
        <f>'相関係数'!C394</f>
        <v>52</v>
      </c>
      <c r="T394" s="29">
        <f>A102</f>
        <v>45348</v>
      </c>
      <c r="U394" s="20">
        <f>D102</f>
        <v>146</v>
      </c>
      <c r="V394" s="30">
        <f t="shared" ref="V394:W394" si="399">B102</f>
        <v>163</v>
      </c>
      <c r="W394" s="20">
        <f t="shared" si="399"/>
        <v>17</v>
      </c>
    </row>
    <row r="395" ht="18.75" customHeight="1">
      <c r="A395" s="21">
        <f t="shared" si="4"/>
        <v>44909</v>
      </c>
      <c r="B395" s="22">
        <f t="shared" si="5"/>
        <v>165</v>
      </c>
      <c r="C395" s="22">
        <f t="shared" si="6"/>
        <v>54</v>
      </c>
      <c r="D395" s="23">
        <f t="shared" si="7"/>
        <v>111</v>
      </c>
      <c r="E395" s="24">
        <f>'相関係数'!A395</f>
        <v>44909</v>
      </c>
      <c r="F395" s="25">
        <f>'相関係数'!B395</f>
        <v>165</v>
      </c>
      <c r="G395" s="25">
        <f>'相関係数'!C395</f>
        <v>54</v>
      </c>
      <c r="T395" s="29">
        <f>A101</f>
        <v>45349</v>
      </c>
      <c r="U395" s="20">
        <f>D101</f>
        <v>145</v>
      </c>
      <c r="V395" s="30">
        <f t="shared" ref="V395:W395" si="400">B101</f>
        <v>163</v>
      </c>
      <c r="W395" s="20">
        <f t="shared" si="400"/>
        <v>18</v>
      </c>
    </row>
    <row r="396" ht="18.75" customHeight="1">
      <c r="A396" s="21">
        <f t="shared" si="4"/>
        <v>44908</v>
      </c>
      <c r="B396" s="22">
        <f t="shared" si="5"/>
        <v>162</v>
      </c>
      <c r="C396" s="22">
        <f t="shared" si="6"/>
        <v>53</v>
      </c>
      <c r="D396" s="23">
        <f t="shared" si="7"/>
        <v>109</v>
      </c>
      <c r="E396" s="24">
        <f>'相関係数'!A396</f>
        <v>44908</v>
      </c>
      <c r="F396" s="25">
        <f>'相関係数'!B396</f>
        <v>162</v>
      </c>
      <c r="G396" s="25">
        <f>'相関係数'!C396</f>
        <v>53</v>
      </c>
      <c r="T396" s="29">
        <f>A100</f>
        <v>45350</v>
      </c>
      <c r="U396" s="20">
        <f>D100</f>
        <v>143</v>
      </c>
      <c r="V396" s="30">
        <f t="shared" ref="V396:W396" si="401">B100</f>
        <v>162</v>
      </c>
      <c r="W396" s="20">
        <f t="shared" si="401"/>
        <v>19</v>
      </c>
    </row>
    <row r="397" ht="18.75" customHeight="1">
      <c r="A397" s="21">
        <f t="shared" si="4"/>
        <v>44907</v>
      </c>
      <c r="B397" s="22">
        <f t="shared" si="5"/>
        <v>162</v>
      </c>
      <c r="C397" s="22">
        <f t="shared" si="6"/>
        <v>53</v>
      </c>
      <c r="D397" s="23">
        <f t="shared" si="7"/>
        <v>109</v>
      </c>
      <c r="E397" s="24">
        <f>'相関係数'!A397</f>
        <v>44907</v>
      </c>
      <c r="F397" s="25">
        <f>'相関係数'!B397</f>
        <v>162</v>
      </c>
      <c r="G397" s="25">
        <f>'相関係数'!C397</f>
        <v>53</v>
      </c>
      <c r="T397" s="29">
        <f>A99</f>
        <v>45351</v>
      </c>
      <c r="U397" s="20">
        <f>D99</f>
        <v>135</v>
      </c>
      <c r="V397" s="30">
        <f t="shared" ref="V397:W397" si="402">B99</f>
        <v>157</v>
      </c>
      <c r="W397" s="20">
        <f t="shared" si="402"/>
        <v>22</v>
      </c>
    </row>
    <row r="398" ht="18.75" customHeight="1">
      <c r="A398" s="21">
        <f t="shared" si="4"/>
        <v>44904</v>
      </c>
      <c r="B398" s="22">
        <f t="shared" si="5"/>
        <v>161</v>
      </c>
      <c r="C398" s="22">
        <f t="shared" si="6"/>
        <v>52</v>
      </c>
      <c r="D398" s="23">
        <f t="shared" si="7"/>
        <v>109</v>
      </c>
      <c r="E398" s="24">
        <f>'相関係数'!A398</f>
        <v>44904</v>
      </c>
      <c r="F398" s="25">
        <f>'相関係数'!B398</f>
        <v>161</v>
      </c>
      <c r="G398" s="25">
        <f>'相関係数'!C398</f>
        <v>52</v>
      </c>
      <c r="T398" s="29">
        <f>A98</f>
        <v>45352</v>
      </c>
      <c r="U398" s="20">
        <f>D98</f>
        <v>135</v>
      </c>
      <c r="V398" s="30">
        <f t="shared" ref="V398:W398" si="403">B98</f>
        <v>156</v>
      </c>
      <c r="W398" s="20">
        <f t="shared" si="403"/>
        <v>21</v>
      </c>
    </row>
    <row r="399" ht="18.75" customHeight="1">
      <c r="A399" s="21">
        <f t="shared" si="4"/>
        <v>44903</v>
      </c>
      <c r="B399" s="22">
        <f t="shared" si="5"/>
        <v>161</v>
      </c>
      <c r="C399" s="22">
        <f t="shared" si="6"/>
        <v>53</v>
      </c>
      <c r="D399" s="23">
        <f t="shared" si="7"/>
        <v>108</v>
      </c>
      <c r="E399" s="24">
        <f>'相関係数'!A399</f>
        <v>44903</v>
      </c>
      <c r="F399" s="25">
        <f>'相関係数'!B399</f>
        <v>161</v>
      </c>
      <c r="G399" s="25">
        <f>'相関係数'!C399</f>
        <v>53</v>
      </c>
      <c r="T399" s="29">
        <f>A97</f>
        <v>45355</v>
      </c>
      <c r="U399" s="20">
        <f>D97</f>
        <v>137</v>
      </c>
      <c r="V399" s="30">
        <f t="shared" ref="V399:W399" si="404">B97</f>
        <v>158</v>
      </c>
      <c r="W399" s="20">
        <f t="shared" si="404"/>
        <v>21</v>
      </c>
    </row>
    <row r="400" ht="18.75" customHeight="1">
      <c r="A400" s="21">
        <f t="shared" si="4"/>
        <v>44902</v>
      </c>
      <c r="B400" s="22">
        <f t="shared" si="5"/>
        <v>163</v>
      </c>
      <c r="C400" s="22">
        <f t="shared" si="6"/>
        <v>52</v>
      </c>
      <c r="D400" s="23">
        <f t="shared" si="7"/>
        <v>111</v>
      </c>
      <c r="E400" s="24">
        <f>'相関係数'!A400</f>
        <v>44902</v>
      </c>
      <c r="F400" s="25">
        <f>'相関係数'!B400</f>
        <v>163</v>
      </c>
      <c r="G400" s="25">
        <f>'相関係数'!C400</f>
        <v>52</v>
      </c>
      <c r="T400" s="29">
        <f>A96</f>
        <v>45356</v>
      </c>
      <c r="U400" s="20">
        <f>D96</f>
        <v>153</v>
      </c>
      <c r="V400" s="30">
        <f t="shared" ref="V400:W400" si="405">B96</f>
        <v>175</v>
      </c>
      <c r="W400" s="20">
        <f t="shared" si="405"/>
        <v>22</v>
      </c>
    </row>
    <row r="401" ht="18.75" customHeight="1">
      <c r="A401" s="21">
        <f t="shared" si="4"/>
        <v>44901</v>
      </c>
      <c r="B401" s="22">
        <f t="shared" si="5"/>
        <v>162</v>
      </c>
      <c r="C401" s="22">
        <f t="shared" si="6"/>
        <v>50</v>
      </c>
      <c r="D401" s="23">
        <f t="shared" si="7"/>
        <v>112</v>
      </c>
      <c r="E401" s="24">
        <f>'相関係数'!A401</f>
        <v>44901</v>
      </c>
      <c r="F401" s="25">
        <f>'相関係数'!B401</f>
        <v>162</v>
      </c>
      <c r="G401" s="25">
        <f>'相関係数'!C401</f>
        <v>50</v>
      </c>
      <c r="T401" s="29">
        <f>A95</f>
        <v>45357</v>
      </c>
      <c r="U401" s="20">
        <f>D95</f>
        <v>170</v>
      </c>
      <c r="V401" s="30">
        <f t="shared" ref="V401:W401" si="406">B95</f>
        <v>191</v>
      </c>
      <c r="W401" s="20">
        <f t="shared" si="406"/>
        <v>21</v>
      </c>
    </row>
    <row r="402" ht="18.75" customHeight="1">
      <c r="A402" s="21">
        <f t="shared" si="4"/>
        <v>44900</v>
      </c>
      <c r="B402" s="22">
        <f t="shared" si="5"/>
        <v>164</v>
      </c>
      <c r="C402" s="22">
        <f t="shared" si="6"/>
        <v>49</v>
      </c>
      <c r="D402" s="23">
        <f t="shared" si="7"/>
        <v>115</v>
      </c>
      <c r="E402" s="24">
        <f>'相関係数'!A402</f>
        <v>44900</v>
      </c>
      <c r="F402" s="25">
        <f>'相関係数'!B402</f>
        <v>164</v>
      </c>
      <c r="G402" s="25">
        <f>'相関係数'!C402</f>
        <v>49</v>
      </c>
      <c r="T402" s="29">
        <f>A94</f>
        <v>45358</v>
      </c>
      <c r="U402" s="20">
        <f>D94</f>
        <v>221</v>
      </c>
      <c r="V402" s="30">
        <f t="shared" ref="V402:W402" si="407">B94</f>
        <v>241</v>
      </c>
      <c r="W402" s="20">
        <f t="shared" si="407"/>
        <v>20</v>
      </c>
    </row>
    <row r="403" ht="18.75" customHeight="1">
      <c r="A403" s="21">
        <f t="shared" si="4"/>
        <v>44897</v>
      </c>
      <c r="B403" s="22">
        <f t="shared" si="5"/>
        <v>166</v>
      </c>
      <c r="C403" s="22">
        <f t="shared" si="6"/>
        <v>51</v>
      </c>
      <c r="D403" s="23">
        <f t="shared" si="7"/>
        <v>115</v>
      </c>
      <c r="E403" s="24">
        <f>'相関係数'!A403</f>
        <v>44897</v>
      </c>
      <c r="F403" s="25">
        <f>'相関係数'!B403</f>
        <v>166</v>
      </c>
      <c r="G403" s="25">
        <f>'相関係数'!C403</f>
        <v>51</v>
      </c>
      <c r="T403" s="29">
        <f>A93</f>
        <v>45359</v>
      </c>
      <c r="U403" s="20">
        <f>D93</f>
        <v>167</v>
      </c>
      <c r="V403" s="30">
        <f t="shared" ref="V403:W403" si="408">B93</f>
        <v>186</v>
      </c>
      <c r="W403" s="20">
        <f t="shared" si="408"/>
        <v>19</v>
      </c>
    </row>
    <row r="404" ht="18.75" customHeight="1">
      <c r="A404" s="21">
        <f t="shared" si="4"/>
        <v>44896</v>
      </c>
      <c r="B404" s="22">
        <f t="shared" si="5"/>
        <v>168</v>
      </c>
      <c r="C404" s="22">
        <f t="shared" si="6"/>
        <v>54</v>
      </c>
      <c r="D404" s="23">
        <f t="shared" si="7"/>
        <v>114</v>
      </c>
      <c r="E404" s="24">
        <f>'相関係数'!A404</f>
        <v>44896</v>
      </c>
      <c r="F404" s="25">
        <f>'相関係数'!B404</f>
        <v>168</v>
      </c>
      <c r="G404" s="25">
        <f>'相関係数'!C404</f>
        <v>54</v>
      </c>
      <c r="T404" s="29">
        <f>A92</f>
        <v>45362</v>
      </c>
      <c r="U404" s="20">
        <f>D92</f>
        <v>164</v>
      </c>
      <c r="V404" s="30">
        <f t="shared" ref="V404:W404" si="409">B92</f>
        <v>184</v>
      </c>
      <c r="W404" s="20">
        <f t="shared" si="409"/>
        <v>20</v>
      </c>
    </row>
    <row r="405" ht="18.75" customHeight="1">
      <c r="A405" s="21">
        <f t="shared" si="4"/>
        <v>44895</v>
      </c>
      <c r="B405" s="22">
        <f t="shared" si="5"/>
        <v>167</v>
      </c>
      <c r="C405" s="22">
        <f t="shared" si="6"/>
        <v>50</v>
      </c>
      <c r="D405" s="23">
        <f t="shared" si="7"/>
        <v>117</v>
      </c>
      <c r="E405" s="24">
        <f>'相関係数'!A405</f>
        <v>44895</v>
      </c>
      <c r="F405" s="25">
        <f>'相関係数'!B405</f>
        <v>167</v>
      </c>
      <c r="G405" s="25">
        <f>'相関係数'!C405</f>
        <v>50</v>
      </c>
      <c r="T405" s="29">
        <f>A91</f>
        <v>45363</v>
      </c>
      <c r="U405" s="20">
        <f>D91</f>
        <v>172</v>
      </c>
      <c r="V405" s="30">
        <f t="shared" ref="V405:W405" si="410">B91</f>
        <v>192</v>
      </c>
      <c r="W405" s="20">
        <f t="shared" si="410"/>
        <v>20</v>
      </c>
    </row>
    <row r="406" ht="18.75" customHeight="1">
      <c r="A406" s="21">
        <f t="shared" si="4"/>
        <v>44894</v>
      </c>
      <c r="B406" s="22">
        <f t="shared" si="5"/>
        <v>168</v>
      </c>
      <c r="C406" s="22">
        <f t="shared" si="6"/>
        <v>48</v>
      </c>
      <c r="D406" s="23">
        <f t="shared" si="7"/>
        <v>120</v>
      </c>
      <c r="E406" s="24">
        <f>'相関係数'!A406</f>
        <v>44894</v>
      </c>
      <c r="F406" s="25">
        <f>'相関係数'!B406</f>
        <v>168</v>
      </c>
      <c r="G406" s="25">
        <f>'相関係数'!C406</f>
        <v>48</v>
      </c>
      <c r="T406" s="29">
        <f>A90</f>
        <v>45364</v>
      </c>
      <c r="U406" s="20">
        <f>D90</f>
        <v>158</v>
      </c>
      <c r="V406" s="30">
        <f t="shared" ref="V406:W406" si="411">B90</f>
        <v>178</v>
      </c>
      <c r="W406" s="20">
        <f t="shared" si="411"/>
        <v>20</v>
      </c>
    </row>
    <row r="407" ht="18.75" customHeight="1">
      <c r="A407" s="21">
        <f t="shared" si="4"/>
        <v>44893</v>
      </c>
      <c r="B407" s="22">
        <f t="shared" si="5"/>
        <v>168</v>
      </c>
      <c r="C407" s="22">
        <f t="shared" si="6"/>
        <v>49</v>
      </c>
      <c r="D407" s="23">
        <f t="shared" si="7"/>
        <v>119</v>
      </c>
      <c r="E407" s="24">
        <f>'相関係数'!A407</f>
        <v>44893</v>
      </c>
      <c r="F407" s="25">
        <f>'相関係数'!B407</f>
        <v>168</v>
      </c>
      <c r="G407" s="25">
        <f>'相関係数'!C407</f>
        <v>49</v>
      </c>
      <c r="T407" s="29">
        <f>A89</f>
        <v>45365</v>
      </c>
      <c r="U407" s="20">
        <f>D89</f>
        <v>156</v>
      </c>
      <c r="V407" s="30">
        <f t="shared" ref="V407:W407" si="412">B89</f>
        <v>175</v>
      </c>
      <c r="W407" s="20">
        <f t="shared" si="412"/>
        <v>19</v>
      </c>
    </row>
    <row r="408" ht="18.75" customHeight="1">
      <c r="A408" s="21">
        <f t="shared" si="4"/>
        <v>44890</v>
      </c>
      <c r="B408" s="22">
        <f t="shared" si="5"/>
        <v>169</v>
      </c>
      <c r="C408" s="22">
        <f t="shared" si="6"/>
        <v>48</v>
      </c>
      <c r="D408" s="23">
        <f t="shared" si="7"/>
        <v>121</v>
      </c>
      <c r="E408" s="24">
        <f>'相関係数'!A408</f>
        <v>44890</v>
      </c>
      <c r="F408" s="25">
        <f>'相関係数'!B408</f>
        <v>169</v>
      </c>
      <c r="G408" s="25">
        <f>'相関係数'!C408</f>
        <v>48</v>
      </c>
      <c r="T408" s="29">
        <f>A88</f>
        <v>45366</v>
      </c>
      <c r="U408" s="20">
        <f>D88</f>
        <v>152</v>
      </c>
      <c r="V408" s="30">
        <f t="shared" ref="V408:W408" si="413">B88</f>
        <v>172</v>
      </c>
      <c r="W408" s="20">
        <f t="shared" si="413"/>
        <v>20</v>
      </c>
    </row>
    <row r="409" ht="18.75" customHeight="1">
      <c r="A409" s="21">
        <f t="shared" si="4"/>
        <v>44889</v>
      </c>
      <c r="B409" s="22">
        <f t="shared" si="5"/>
        <v>170</v>
      </c>
      <c r="C409" s="22">
        <f t="shared" si="6"/>
        <v>48</v>
      </c>
      <c r="D409" s="23">
        <f t="shared" si="7"/>
        <v>122</v>
      </c>
      <c r="E409" s="24">
        <f>'相関係数'!A409</f>
        <v>44889</v>
      </c>
      <c r="F409" s="25">
        <f>'相関係数'!B409</f>
        <v>170</v>
      </c>
      <c r="G409" s="25">
        <f>'相関係数'!C409</f>
        <v>48</v>
      </c>
      <c r="T409" s="29">
        <f>A87</f>
        <v>45369</v>
      </c>
      <c r="U409" s="20">
        <f>D87</f>
        <v>158</v>
      </c>
      <c r="V409" s="30">
        <f t="shared" ref="V409:W409" si="414">B87</f>
        <v>179</v>
      </c>
      <c r="W409" s="20">
        <f t="shared" si="414"/>
        <v>21</v>
      </c>
    </row>
    <row r="410" ht="18.75" customHeight="1">
      <c r="A410" s="21">
        <f t="shared" si="4"/>
        <v>44887</v>
      </c>
      <c r="B410" s="22">
        <f t="shared" si="5"/>
        <v>170</v>
      </c>
      <c r="C410" s="22">
        <f t="shared" si="6"/>
        <v>47</v>
      </c>
      <c r="D410" s="23">
        <f t="shared" si="7"/>
        <v>123</v>
      </c>
      <c r="E410" s="24">
        <f>'相関係数'!A410</f>
        <v>44887</v>
      </c>
      <c r="F410" s="25">
        <f>'相関係数'!B410</f>
        <v>170</v>
      </c>
      <c r="G410" s="25">
        <f>'相関係数'!C410</f>
        <v>47</v>
      </c>
      <c r="T410" s="29">
        <f>A86</f>
        <v>45370</v>
      </c>
      <c r="U410" s="20">
        <f>D86</f>
        <v>156</v>
      </c>
      <c r="V410" s="30">
        <f t="shared" ref="V410:W410" si="415">B86</f>
        <v>176</v>
      </c>
      <c r="W410" s="20">
        <f t="shared" si="415"/>
        <v>20</v>
      </c>
    </row>
    <row r="411" ht="18.75" customHeight="1">
      <c r="A411" s="21">
        <f t="shared" si="4"/>
        <v>44886</v>
      </c>
      <c r="B411" s="22">
        <f t="shared" si="5"/>
        <v>171</v>
      </c>
      <c r="C411" s="22">
        <f t="shared" si="6"/>
        <v>49</v>
      </c>
      <c r="D411" s="23">
        <f t="shared" si="7"/>
        <v>122</v>
      </c>
      <c r="E411" s="24">
        <f>'相関係数'!A411</f>
        <v>44886</v>
      </c>
      <c r="F411" s="25">
        <f>'相関係数'!B411</f>
        <v>171</v>
      </c>
      <c r="G411" s="25">
        <f>'相関係数'!C411</f>
        <v>49</v>
      </c>
      <c r="T411" s="29">
        <f>A85</f>
        <v>45372</v>
      </c>
      <c r="U411" s="20">
        <f>D85</f>
        <v>157</v>
      </c>
      <c r="V411" s="30">
        <f t="shared" ref="V411:W411" si="416">B85</f>
        <v>178</v>
      </c>
      <c r="W411" s="20">
        <f t="shared" si="416"/>
        <v>21</v>
      </c>
    </row>
    <row r="412" ht="18.75" customHeight="1">
      <c r="A412" s="21">
        <f t="shared" si="4"/>
        <v>44883</v>
      </c>
      <c r="B412" s="22">
        <f t="shared" si="5"/>
        <v>171</v>
      </c>
      <c r="C412" s="22">
        <f t="shared" si="6"/>
        <v>50</v>
      </c>
      <c r="D412" s="23">
        <f t="shared" si="7"/>
        <v>121</v>
      </c>
      <c r="E412" s="24">
        <f>'相関係数'!A412</f>
        <v>44883</v>
      </c>
      <c r="F412" s="25">
        <f>'相関係数'!B412</f>
        <v>171</v>
      </c>
      <c r="G412" s="25">
        <f>'相関係数'!C412</f>
        <v>50</v>
      </c>
      <c r="T412" s="29">
        <f>A84</f>
        <v>45373</v>
      </c>
      <c r="U412" s="20">
        <f>D84</f>
        <v>163</v>
      </c>
      <c r="V412" s="30">
        <f t="shared" ref="V412:W412" si="417">B84</f>
        <v>184</v>
      </c>
      <c r="W412" s="20">
        <f t="shared" si="417"/>
        <v>21</v>
      </c>
    </row>
    <row r="413" ht="18.75" customHeight="1">
      <c r="A413" s="21">
        <f t="shared" si="4"/>
        <v>44882</v>
      </c>
      <c r="B413" s="22">
        <f t="shared" si="5"/>
        <v>171</v>
      </c>
      <c r="C413" s="22">
        <f t="shared" si="6"/>
        <v>48</v>
      </c>
      <c r="D413" s="23">
        <f t="shared" si="7"/>
        <v>123</v>
      </c>
      <c r="E413" s="24">
        <f>'相関係数'!A413</f>
        <v>44882</v>
      </c>
      <c r="F413" s="25">
        <f>'相関係数'!B413</f>
        <v>171</v>
      </c>
      <c r="G413" s="25">
        <f>'相関係数'!C413</f>
        <v>48</v>
      </c>
      <c r="T413" s="29">
        <f>A83</f>
        <v>45376</v>
      </c>
      <c r="U413" s="20">
        <f>D83</f>
        <v>161</v>
      </c>
      <c r="V413" s="30">
        <f t="shared" ref="V413:W413" si="418">B83</f>
        <v>182</v>
      </c>
      <c r="W413" s="20">
        <f t="shared" si="418"/>
        <v>21</v>
      </c>
    </row>
    <row r="414" ht="18.75" customHeight="1">
      <c r="A414" s="21">
        <f t="shared" si="4"/>
        <v>44881</v>
      </c>
      <c r="B414" s="22">
        <f t="shared" si="5"/>
        <v>171</v>
      </c>
      <c r="C414" s="22">
        <f t="shared" si="6"/>
        <v>47</v>
      </c>
      <c r="D414" s="23">
        <f t="shared" si="7"/>
        <v>124</v>
      </c>
      <c r="E414" s="24">
        <f>'相関係数'!A414</f>
        <v>44881</v>
      </c>
      <c r="F414" s="25">
        <f>'相関係数'!B414</f>
        <v>171</v>
      </c>
      <c r="G414" s="25">
        <f>'相関係数'!C414</f>
        <v>47</v>
      </c>
      <c r="T414" s="29">
        <f>A82</f>
        <v>45377</v>
      </c>
      <c r="U414" s="20">
        <f>D82</f>
        <v>155</v>
      </c>
      <c r="V414" s="30">
        <f t="shared" ref="V414:W414" si="419">B82</f>
        <v>176</v>
      </c>
      <c r="W414" s="20">
        <f t="shared" si="419"/>
        <v>21</v>
      </c>
    </row>
    <row r="415" ht="18.75" customHeight="1">
      <c r="A415" s="21">
        <f t="shared" si="4"/>
        <v>44880</v>
      </c>
      <c r="B415" s="22">
        <f t="shared" si="5"/>
        <v>173</v>
      </c>
      <c r="C415" s="22">
        <f t="shared" si="6"/>
        <v>48</v>
      </c>
      <c r="D415" s="23">
        <f t="shared" si="7"/>
        <v>125</v>
      </c>
      <c r="E415" s="24">
        <f>'相関係数'!A415</f>
        <v>44880</v>
      </c>
      <c r="F415" s="25">
        <f>'相関係数'!B415</f>
        <v>173</v>
      </c>
      <c r="G415" s="25">
        <f>'相関係数'!C415</f>
        <v>48</v>
      </c>
      <c r="T415" s="29">
        <f>A81</f>
        <v>45378</v>
      </c>
      <c r="U415" s="20">
        <f>D81</f>
        <v>155</v>
      </c>
      <c r="V415" s="30">
        <f t="shared" ref="V415:W415" si="420">B81</f>
        <v>175</v>
      </c>
      <c r="W415" s="20">
        <f t="shared" si="420"/>
        <v>20</v>
      </c>
    </row>
    <row r="416" ht="18.75" customHeight="1">
      <c r="A416" s="21">
        <f t="shared" si="4"/>
        <v>44879</v>
      </c>
      <c r="B416" s="22">
        <f t="shared" si="5"/>
        <v>173</v>
      </c>
      <c r="C416" s="22">
        <f t="shared" si="6"/>
        <v>47</v>
      </c>
      <c r="D416" s="23">
        <f t="shared" si="7"/>
        <v>126</v>
      </c>
      <c r="E416" s="24">
        <f>'相関係数'!A416</f>
        <v>44879</v>
      </c>
      <c r="F416" s="25">
        <f>'相関係数'!B416</f>
        <v>173</v>
      </c>
      <c r="G416" s="25">
        <f>'相関係数'!C416</f>
        <v>47</v>
      </c>
      <c r="T416" s="29">
        <f>A80</f>
        <v>45379</v>
      </c>
      <c r="U416" s="20">
        <f>D80</f>
        <v>150</v>
      </c>
      <c r="V416" s="30">
        <f t="shared" ref="V416:W416" si="421">B80</f>
        <v>169</v>
      </c>
      <c r="W416" s="20">
        <f t="shared" si="421"/>
        <v>19</v>
      </c>
    </row>
    <row r="417" ht="18.75" customHeight="1">
      <c r="A417" s="21">
        <f t="shared" si="4"/>
        <v>44876</v>
      </c>
      <c r="B417" s="22">
        <f t="shared" si="5"/>
        <v>176</v>
      </c>
      <c r="C417" s="22">
        <f t="shared" si="6"/>
        <v>49</v>
      </c>
      <c r="D417" s="23">
        <f t="shared" si="7"/>
        <v>127</v>
      </c>
      <c r="E417" s="24">
        <f>'相関係数'!A417</f>
        <v>44876</v>
      </c>
      <c r="F417" s="25">
        <f>'相関係数'!B417</f>
        <v>176</v>
      </c>
      <c r="G417" s="25">
        <f>'相関係数'!C417</f>
        <v>49</v>
      </c>
      <c r="T417" s="29">
        <f>A79</f>
        <v>45380</v>
      </c>
      <c r="U417" s="20">
        <f>D79</f>
        <v>174</v>
      </c>
      <c r="V417" s="30">
        <f t="shared" ref="V417:W417" si="422">B79</f>
        <v>194</v>
      </c>
      <c r="W417" s="20">
        <f t="shared" si="422"/>
        <v>20</v>
      </c>
    </row>
    <row r="418" ht="18.75" customHeight="1">
      <c r="A418" s="21">
        <f t="shared" si="4"/>
        <v>44875</v>
      </c>
      <c r="B418" s="22">
        <f t="shared" si="5"/>
        <v>174</v>
      </c>
      <c r="C418" s="22">
        <f t="shared" si="6"/>
        <v>47</v>
      </c>
      <c r="D418" s="23">
        <f t="shared" si="7"/>
        <v>127</v>
      </c>
      <c r="E418" s="24">
        <f>'相関係数'!A418</f>
        <v>44875</v>
      </c>
      <c r="F418" s="25">
        <f>'相関係数'!B418</f>
        <v>174</v>
      </c>
      <c r="G418" s="25">
        <f>'相関係数'!C418</f>
        <v>47</v>
      </c>
      <c r="T418" s="29">
        <f>A78</f>
        <v>45383</v>
      </c>
      <c r="U418" s="20">
        <f>D78</f>
        <v>178</v>
      </c>
      <c r="V418" s="30">
        <f t="shared" ref="V418:W418" si="423">B78</f>
        <v>197</v>
      </c>
      <c r="W418" s="20">
        <f t="shared" si="423"/>
        <v>19</v>
      </c>
    </row>
    <row r="419" ht="18.75" customHeight="1">
      <c r="A419" s="21">
        <f t="shared" si="4"/>
        <v>44874</v>
      </c>
      <c r="B419" s="22">
        <f t="shared" si="5"/>
        <v>176</v>
      </c>
      <c r="C419" s="22">
        <f t="shared" si="6"/>
        <v>47</v>
      </c>
      <c r="D419" s="23">
        <f t="shared" si="7"/>
        <v>129</v>
      </c>
      <c r="E419" s="24">
        <f>'相関係数'!A419</f>
        <v>44874</v>
      </c>
      <c r="F419" s="25">
        <f>'相関係数'!B419</f>
        <v>176</v>
      </c>
      <c r="G419" s="25">
        <f>'相関係数'!C419</f>
        <v>47</v>
      </c>
      <c r="T419" s="29">
        <f>A77</f>
        <v>45384</v>
      </c>
      <c r="U419" s="20">
        <f>D77</f>
        <v>165</v>
      </c>
      <c r="V419" s="30">
        <f t="shared" ref="V419:W419" si="424">B77</f>
        <v>185</v>
      </c>
      <c r="W419" s="20">
        <f t="shared" si="424"/>
        <v>20</v>
      </c>
    </row>
    <row r="420" ht="18.75" customHeight="1">
      <c r="A420" s="21">
        <f t="shared" si="4"/>
        <v>44873</v>
      </c>
      <c r="B420" s="22">
        <f t="shared" si="5"/>
        <v>174</v>
      </c>
      <c r="C420" s="22">
        <f t="shared" si="6"/>
        <v>48</v>
      </c>
      <c r="D420" s="23">
        <f t="shared" si="7"/>
        <v>126</v>
      </c>
      <c r="E420" s="24">
        <f>'相関係数'!A420</f>
        <v>44873</v>
      </c>
      <c r="F420" s="25">
        <f>'相関係数'!B420</f>
        <v>174</v>
      </c>
      <c r="G420" s="25">
        <f>'相関係数'!C420</f>
        <v>48</v>
      </c>
      <c r="T420" s="29">
        <f>A76</f>
        <v>45385</v>
      </c>
      <c r="U420" s="20">
        <f>D76</f>
        <v>171</v>
      </c>
      <c r="V420" s="30">
        <f t="shared" ref="V420:W420" si="425">B76</f>
        <v>191</v>
      </c>
      <c r="W420" s="20">
        <f t="shared" si="425"/>
        <v>20</v>
      </c>
    </row>
    <row r="421" ht="18.75" customHeight="1">
      <c r="A421" s="21">
        <f t="shared" si="4"/>
        <v>44872</v>
      </c>
      <c r="B421" s="22">
        <f t="shared" si="5"/>
        <v>172</v>
      </c>
      <c r="C421" s="22">
        <f t="shared" si="6"/>
        <v>49</v>
      </c>
      <c r="D421" s="23">
        <f t="shared" si="7"/>
        <v>123</v>
      </c>
      <c r="E421" s="24">
        <f>'相関係数'!A421</f>
        <v>44872</v>
      </c>
      <c r="F421" s="25">
        <f>'相関係数'!B421</f>
        <v>172</v>
      </c>
      <c r="G421" s="25">
        <f>'相関係数'!C421</f>
        <v>49</v>
      </c>
      <c r="T421" s="29">
        <f>A75</f>
        <v>45386</v>
      </c>
      <c r="U421" s="20">
        <f>D75</f>
        <v>170</v>
      </c>
      <c r="V421" s="30">
        <f t="shared" ref="V421:W421" si="426">B75</f>
        <v>189</v>
      </c>
      <c r="W421" s="20">
        <f t="shared" si="426"/>
        <v>19</v>
      </c>
    </row>
    <row r="422" ht="18.75" customHeight="1">
      <c r="A422" s="21">
        <f t="shared" si="4"/>
        <v>44869</v>
      </c>
      <c r="B422" s="22">
        <f t="shared" si="5"/>
        <v>168</v>
      </c>
      <c r="C422" s="22">
        <f t="shared" si="6"/>
        <v>48</v>
      </c>
      <c r="D422" s="23">
        <f t="shared" si="7"/>
        <v>120</v>
      </c>
      <c r="E422" s="24">
        <f>'相関係数'!A422</f>
        <v>44869</v>
      </c>
      <c r="F422" s="25">
        <f>'相関係数'!B422</f>
        <v>168</v>
      </c>
      <c r="G422" s="25">
        <f>'相関係数'!C422</f>
        <v>48</v>
      </c>
      <c r="T422" s="29">
        <f>A74</f>
        <v>45387</v>
      </c>
      <c r="U422" s="20">
        <f>D74</f>
        <v>154</v>
      </c>
      <c r="V422" s="30">
        <f t="shared" ref="V422:W422" si="427">B74</f>
        <v>173</v>
      </c>
      <c r="W422" s="20">
        <f t="shared" si="427"/>
        <v>19</v>
      </c>
    </row>
    <row r="423" ht="18.75" customHeight="1">
      <c r="A423" s="21">
        <f t="shared" si="4"/>
        <v>44867</v>
      </c>
      <c r="B423" s="22">
        <f t="shared" si="5"/>
        <v>171</v>
      </c>
      <c r="C423" s="22">
        <f t="shared" si="6"/>
        <v>48</v>
      </c>
      <c r="D423" s="23">
        <f t="shared" si="7"/>
        <v>123</v>
      </c>
      <c r="E423" s="24">
        <f>'相関係数'!A423</f>
        <v>44867</v>
      </c>
      <c r="F423" s="25">
        <f>'相関係数'!B423</f>
        <v>171</v>
      </c>
      <c r="G423" s="25">
        <f>'相関係数'!C423</f>
        <v>48</v>
      </c>
      <c r="T423" s="29">
        <f>A73</f>
        <v>45390</v>
      </c>
      <c r="U423" s="20">
        <f>D73</f>
        <v>158</v>
      </c>
      <c r="V423" s="30">
        <f t="shared" ref="V423:W423" si="428">B73</f>
        <v>177</v>
      </c>
      <c r="W423" s="20">
        <f t="shared" si="428"/>
        <v>19</v>
      </c>
    </row>
    <row r="424" ht="18.75" customHeight="1">
      <c r="A424" s="21">
        <f t="shared" si="4"/>
        <v>44866</v>
      </c>
      <c r="B424" s="22">
        <f t="shared" si="5"/>
        <v>170</v>
      </c>
      <c r="C424" s="22">
        <f t="shared" si="6"/>
        <v>48</v>
      </c>
      <c r="D424" s="23">
        <f t="shared" si="7"/>
        <v>122</v>
      </c>
      <c r="E424" s="24">
        <f>'相関係数'!A424</f>
        <v>44866</v>
      </c>
      <c r="F424" s="25">
        <f>'相関係数'!B424</f>
        <v>170</v>
      </c>
      <c r="G424" s="25">
        <f>'相関係数'!C424</f>
        <v>48</v>
      </c>
      <c r="T424" s="29">
        <f>A72</f>
        <v>45391</v>
      </c>
      <c r="U424" s="20">
        <f>D72</f>
        <v>142</v>
      </c>
      <c r="V424" s="30">
        <f t="shared" ref="V424:W424" si="429">B72</f>
        <v>178</v>
      </c>
      <c r="W424" s="20">
        <f t="shared" si="429"/>
        <v>36</v>
      </c>
    </row>
    <row r="425" ht="18.75" customHeight="1">
      <c r="A425" s="21">
        <f t="shared" si="4"/>
        <v>44865</v>
      </c>
      <c r="B425" s="22">
        <f t="shared" si="5"/>
        <v>173</v>
      </c>
      <c r="C425" s="22">
        <f t="shared" si="6"/>
        <v>50</v>
      </c>
      <c r="D425" s="23">
        <f t="shared" si="7"/>
        <v>123</v>
      </c>
      <c r="E425" s="24">
        <f>'相関係数'!A425</f>
        <v>44865</v>
      </c>
      <c r="F425" s="25">
        <f>'相関係数'!B425</f>
        <v>173</v>
      </c>
      <c r="G425" s="25">
        <f>'相関係数'!C425</f>
        <v>50</v>
      </c>
      <c r="T425" s="29">
        <f>A71</f>
        <v>45392</v>
      </c>
      <c r="U425" s="20">
        <f>D71</f>
        <v>158</v>
      </c>
      <c r="V425" s="30">
        <f t="shared" ref="V425:W425" si="430">B71</f>
        <v>190</v>
      </c>
      <c r="W425" s="20">
        <f t="shared" si="430"/>
        <v>32</v>
      </c>
    </row>
    <row r="426" ht="18.75" customHeight="1">
      <c r="A426" s="21">
        <f t="shared" si="4"/>
        <v>44862</v>
      </c>
      <c r="B426" s="22">
        <f t="shared" si="5"/>
        <v>174</v>
      </c>
      <c r="C426" s="22">
        <f t="shared" si="6"/>
        <v>50</v>
      </c>
      <c r="D426" s="23">
        <f t="shared" si="7"/>
        <v>124</v>
      </c>
      <c r="E426" s="24">
        <f>'相関係数'!A426</f>
        <v>44862</v>
      </c>
      <c r="F426" s="25">
        <f>'相関係数'!B426</f>
        <v>174</v>
      </c>
      <c r="G426" s="25">
        <f>'相関係数'!C426</f>
        <v>50</v>
      </c>
      <c r="T426" s="29">
        <f>A70</f>
        <v>45393</v>
      </c>
      <c r="U426" s="20">
        <f>D70</f>
        <v>148</v>
      </c>
      <c r="V426" s="30">
        <f t="shared" ref="V426:W426" si="431">B70</f>
        <v>184</v>
      </c>
      <c r="W426" s="20">
        <f t="shared" si="431"/>
        <v>36</v>
      </c>
    </row>
    <row r="427" ht="18.75" customHeight="1">
      <c r="A427" s="21">
        <f t="shared" si="4"/>
        <v>44861</v>
      </c>
      <c r="B427" s="22">
        <f t="shared" si="5"/>
        <v>173</v>
      </c>
      <c r="C427" s="22">
        <f t="shared" si="6"/>
        <v>49</v>
      </c>
      <c r="D427" s="23">
        <f t="shared" si="7"/>
        <v>124</v>
      </c>
      <c r="E427" s="24">
        <f>'相関係数'!A427</f>
        <v>44861</v>
      </c>
      <c r="F427" s="25">
        <f>'相関係数'!B427</f>
        <v>173</v>
      </c>
      <c r="G427" s="25">
        <f>'相関係数'!C427</f>
        <v>49</v>
      </c>
      <c r="T427" s="29">
        <f>A69</f>
        <v>45394</v>
      </c>
      <c r="U427" s="20">
        <f>D69</f>
        <v>153</v>
      </c>
      <c r="V427" s="30">
        <f t="shared" ref="V427:W427" si="432">B69</f>
        <v>187</v>
      </c>
      <c r="W427" s="20">
        <f t="shared" si="432"/>
        <v>34</v>
      </c>
    </row>
    <row r="428" ht="18.75" customHeight="1">
      <c r="A428" s="21">
        <f t="shared" si="4"/>
        <v>44860</v>
      </c>
      <c r="B428" s="22">
        <f t="shared" si="5"/>
        <v>173</v>
      </c>
      <c r="C428" s="22">
        <f t="shared" si="6"/>
        <v>49</v>
      </c>
      <c r="D428" s="23">
        <f t="shared" si="7"/>
        <v>124</v>
      </c>
      <c r="E428" s="24">
        <f>'相関係数'!A428</f>
        <v>44860</v>
      </c>
      <c r="F428" s="25">
        <f>'相関係数'!B428</f>
        <v>173</v>
      </c>
      <c r="G428" s="25">
        <f>'相関係数'!C428</f>
        <v>49</v>
      </c>
      <c r="T428" s="29">
        <f>A68</f>
        <v>45397</v>
      </c>
      <c r="U428" s="20">
        <f>D68</f>
        <v>149</v>
      </c>
      <c r="V428" s="30">
        <f t="shared" ref="V428:W428" si="433">B68</f>
        <v>179</v>
      </c>
      <c r="W428" s="20">
        <f t="shared" si="433"/>
        <v>30</v>
      </c>
    </row>
    <row r="429" ht="18.75" customHeight="1">
      <c r="A429" s="21">
        <f t="shared" si="4"/>
        <v>44859</v>
      </c>
      <c r="B429" s="22">
        <f t="shared" si="5"/>
        <v>170</v>
      </c>
      <c r="C429" s="22">
        <f t="shared" si="6"/>
        <v>50</v>
      </c>
      <c r="D429" s="23">
        <f t="shared" si="7"/>
        <v>120</v>
      </c>
      <c r="E429" s="24">
        <f>'相関係数'!A429</f>
        <v>44859</v>
      </c>
      <c r="F429" s="25">
        <f>'相関係数'!B429</f>
        <v>170</v>
      </c>
      <c r="G429" s="25">
        <f>'相関係数'!C429</f>
        <v>50</v>
      </c>
      <c r="T429" s="29">
        <f>A67</f>
        <v>45398</v>
      </c>
      <c r="U429" s="20">
        <f>D67</f>
        <v>146</v>
      </c>
      <c r="V429" s="30">
        <f t="shared" ref="V429:W429" si="434">B67</f>
        <v>173</v>
      </c>
      <c r="W429" s="20">
        <f t="shared" si="434"/>
        <v>27</v>
      </c>
    </row>
    <row r="430" ht="18.75" customHeight="1">
      <c r="A430" s="21">
        <f t="shared" si="4"/>
        <v>44858</v>
      </c>
      <c r="B430" s="22">
        <f t="shared" si="5"/>
        <v>167</v>
      </c>
      <c r="C430" s="22">
        <f t="shared" si="6"/>
        <v>49</v>
      </c>
      <c r="D430" s="23">
        <f t="shared" si="7"/>
        <v>118</v>
      </c>
      <c r="E430" s="24">
        <f>'相関係数'!A430</f>
        <v>44858</v>
      </c>
      <c r="F430" s="25">
        <f>'相関係数'!B430</f>
        <v>167</v>
      </c>
      <c r="G430" s="25">
        <f>'相関係数'!C430</f>
        <v>49</v>
      </c>
      <c r="T430" s="29">
        <f>A66</f>
        <v>45399</v>
      </c>
      <c r="U430" s="20">
        <f>D66</f>
        <v>141</v>
      </c>
      <c r="V430" s="30">
        <f t="shared" ref="V430:W430" si="435">B66</f>
        <v>168</v>
      </c>
      <c r="W430" s="20">
        <f t="shared" si="435"/>
        <v>27</v>
      </c>
    </row>
    <row r="431" ht="18.75" customHeight="1">
      <c r="A431" s="21">
        <f t="shared" si="4"/>
        <v>44855</v>
      </c>
      <c r="B431" s="22">
        <f t="shared" si="5"/>
        <v>167</v>
      </c>
      <c r="C431" s="22">
        <f t="shared" si="6"/>
        <v>50</v>
      </c>
      <c r="D431" s="23">
        <f t="shared" si="7"/>
        <v>117</v>
      </c>
      <c r="E431" s="24">
        <f>'相関係数'!A431</f>
        <v>44855</v>
      </c>
      <c r="F431" s="25">
        <f>'相関係数'!B431</f>
        <v>167</v>
      </c>
      <c r="G431" s="25">
        <f>'相関係数'!C431</f>
        <v>50</v>
      </c>
      <c r="T431" s="29">
        <f>A65</f>
        <v>45400</v>
      </c>
      <c r="U431" s="20">
        <f>D65</f>
        <v>138</v>
      </c>
      <c r="V431" s="30">
        <f t="shared" ref="V431:W431" si="436">B65</f>
        <v>166</v>
      </c>
      <c r="W431" s="20">
        <f t="shared" si="436"/>
        <v>28</v>
      </c>
    </row>
    <row r="432" ht="18.75" customHeight="1">
      <c r="A432" s="21">
        <f t="shared" si="4"/>
        <v>44854</v>
      </c>
      <c r="B432" s="22">
        <f t="shared" si="5"/>
        <v>168</v>
      </c>
      <c r="C432" s="22">
        <f t="shared" si="6"/>
        <v>50</v>
      </c>
      <c r="D432" s="23">
        <f t="shared" si="7"/>
        <v>118</v>
      </c>
      <c r="E432" s="24">
        <f>'相関係数'!A432</f>
        <v>44854</v>
      </c>
      <c r="F432" s="25">
        <f>'相関係数'!B432</f>
        <v>168</v>
      </c>
      <c r="G432" s="25">
        <f>'相関係数'!C432</f>
        <v>50</v>
      </c>
      <c r="T432" s="29">
        <f>A64</f>
        <v>45401</v>
      </c>
      <c r="U432" s="20">
        <f>D64</f>
        <v>140</v>
      </c>
      <c r="V432" s="30">
        <f t="shared" ref="V432:W432" si="437">B64</f>
        <v>170</v>
      </c>
      <c r="W432" s="20">
        <f t="shared" si="437"/>
        <v>30</v>
      </c>
    </row>
    <row r="433" ht="18.75" customHeight="1">
      <c r="A433" s="21">
        <f t="shared" si="4"/>
        <v>44853</v>
      </c>
      <c r="B433" s="22">
        <f t="shared" si="5"/>
        <v>170</v>
      </c>
      <c r="C433" s="22">
        <f t="shared" si="6"/>
        <v>51</v>
      </c>
      <c r="D433" s="23">
        <f t="shared" si="7"/>
        <v>119</v>
      </c>
      <c r="E433" s="24">
        <f>'相関係数'!A433</f>
        <v>44853</v>
      </c>
      <c r="F433" s="25">
        <f>'相関係数'!B433</f>
        <v>170</v>
      </c>
      <c r="G433" s="25">
        <f>'相関係数'!C433</f>
        <v>51</v>
      </c>
      <c r="T433" s="29">
        <f>A63</f>
        <v>45404</v>
      </c>
      <c r="U433" s="20">
        <f>D63</f>
        <v>135</v>
      </c>
      <c r="V433" s="30">
        <f t="shared" ref="V433:W433" si="438">B63</f>
        <v>166</v>
      </c>
      <c r="W433" s="20">
        <f t="shared" si="438"/>
        <v>31</v>
      </c>
    </row>
    <row r="434" ht="18.75" customHeight="1">
      <c r="A434" s="21">
        <f t="shared" si="4"/>
        <v>44852</v>
      </c>
      <c r="B434" s="22">
        <f t="shared" si="5"/>
        <v>168</v>
      </c>
      <c r="C434" s="22">
        <f t="shared" si="6"/>
        <v>48</v>
      </c>
      <c r="D434" s="23">
        <f t="shared" si="7"/>
        <v>120</v>
      </c>
      <c r="E434" s="24">
        <f>'相関係数'!A434</f>
        <v>44852</v>
      </c>
      <c r="F434" s="25">
        <f>'相関係数'!B434</f>
        <v>168</v>
      </c>
      <c r="G434" s="25">
        <f>'相関係数'!C434</f>
        <v>48</v>
      </c>
      <c r="T434" s="29">
        <f>A62</f>
        <v>45405</v>
      </c>
      <c r="U434" s="20">
        <f>D62</f>
        <v>134</v>
      </c>
      <c r="V434" s="30">
        <f t="shared" ref="V434:W434" si="439">B62</f>
        <v>168</v>
      </c>
      <c r="W434" s="20">
        <f t="shared" si="439"/>
        <v>34</v>
      </c>
    </row>
    <row r="435" ht="18.75" customHeight="1">
      <c r="A435" s="21">
        <f t="shared" si="4"/>
        <v>44851</v>
      </c>
      <c r="B435" s="22">
        <f t="shared" si="5"/>
        <v>167</v>
      </c>
      <c r="C435" s="22">
        <f t="shared" si="6"/>
        <v>49</v>
      </c>
      <c r="D435" s="23">
        <f t="shared" si="7"/>
        <v>118</v>
      </c>
      <c r="E435" s="24">
        <f>'相関係数'!A435</f>
        <v>44851</v>
      </c>
      <c r="F435" s="25">
        <f>'相関係数'!B435</f>
        <v>167</v>
      </c>
      <c r="G435" s="25">
        <f>'相関係数'!C435</f>
        <v>49</v>
      </c>
      <c r="T435" s="29">
        <f>A61</f>
        <v>45406</v>
      </c>
      <c r="U435" s="20">
        <f>D61</f>
        <v>142</v>
      </c>
      <c r="V435" s="30">
        <f t="shared" ref="V435:W435" si="440">B61</f>
        <v>174</v>
      </c>
      <c r="W435" s="20">
        <f t="shared" si="440"/>
        <v>32</v>
      </c>
    </row>
    <row r="436" ht="18.75" customHeight="1">
      <c r="A436" s="21">
        <f t="shared" si="4"/>
        <v>44848</v>
      </c>
      <c r="B436" s="22">
        <f t="shared" si="5"/>
        <v>164</v>
      </c>
      <c r="C436" s="22">
        <f t="shared" si="6"/>
        <v>49</v>
      </c>
      <c r="D436" s="23">
        <f t="shared" si="7"/>
        <v>115</v>
      </c>
      <c r="E436" s="24">
        <f>'相関係数'!A436</f>
        <v>44848</v>
      </c>
      <c r="F436" s="25">
        <f>'相関係数'!B436</f>
        <v>164</v>
      </c>
      <c r="G436" s="25">
        <f>'相関係数'!C436</f>
        <v>49</v>
      </c>
      <c r="T436" s="29">
        <f>A60</f>
        <v>45407</v>
      </c>
      <c r="U436" s="20">
        <f>D60</f>
        <v>151</v>
      </c>
      <c r="V436" s="30">
        <f t="shared" ref="V436:W436" si="441">B60</f>
        <v>179</v>
      </c>
      <c r="W436" s="20">
        <f t="shared" si="441"/>
        <v>28</v>
      </c>
    </row>
    <row r="437" ht="18.75" customHeight="1">
      <c r="A437" s="21">
        <f t="shared" si="4"/>
        <v>44847</v>
      </c>
      <c r="B437" s="22">
        <f t="shared" si="5"/>
        <v>161</v>
      </c>
      <c r="C437" s="22">
        <f t="shared" si="6"/>
        <v>49</v>
      </c>
      <c r="D437" s="23">
        <f t="shared" si="7"/>
        <v>112</v>
      </c>
      <c r="E437" s="24">
        <f>'相関係数'!A437</f>
        <v>44847</v>
      </c>
      <c r="F437" s="25">
        <f>'相関係数'!B437</f>
        <v>161</v>
      </c>
      <c r="G437" s="25">
        <f>'相関係数'!C437</f>
        <v>49</v>
      </c>
      <c r="T437" s="29">
        <f>A59</f>
        <v>45408</v>
      </c>
      <c r="U437" s="20">
        <f>D59</f>
        <v>156</v>
      </c>
      <c r="V437" s="30">
        <f t="shared" ref="V437:W437" si="442">B59</f>
        <v>185</v>
      </c>
      <c r="W437" s="20">
        <f t="shared" si="442"/>
        <v>29</v>
      </c>
    </row>
    <row r="438" ht="18.75" customHeight="1">
      <c r="A438" s="21">
        <f t="shared" si="4"/>
        <v>44846</v>
      </c>
      <c r="B438" s="22">
        <f t="shared" si="5"/>
        <v>164</v>
      </c>
      <c r="C438" s="22">
        <f t="shared" si="6"/>
        <v>50</v>
      </c>
      <c r="D438" s="23">
        <f t="shared" si="7"/>
        <v>114</v>
      </c>
      <c r="E438" s="24">
        <f>'相関係数'!A438</f>
        <v>44846</v>
      </c>
      <c r="F438" s="25">
        <f>'相関係数'!B438</f>
        <v>164</v>
      </c>
      <c r="G438" s="25">
        <f>'相関係数'!C438</f>
        <v>50</v>
      </c>
      <c r="T438" s="29">
        <f>A58</f>
        <v>45412</v>
      </c>
      <c r="U438" s="20">
        <f>D58</f>
        <v>177</v>
      </c>
      <c r="V438" s="30">
        <f t="shared" ref="V438:W438" si="443">B58</f>
        <v>206</v>
      </c>
      <c r="W438" s="20">
        <f t="shared" si="443"/>
        <v>29</v>
      </c>
    </row>
    <row r="439" ht="18.75" customHeight="1">
      <c r="A439" s="21">
        <f t="shared" si="4"/>
        <v>44845</v>
      </c>
      <c r="B439" s="22">
        <f t="shared" si="5"/>
        <v>168</v>
      </c>
      <c r="C439" s="22">
        <f t="shared" si="6"/>
        <v>52</v>
      </c>
      <c r="D439" s="23">
        <f t="shared" si="7"/>
        <v>116</v>
      </c>
      <c r="E439" s="24">
        <f>'相関係数'!A439</f>
        <v>44845</v>
      </c>
      <c r="F439" s="25">
        <f>'相関係数'!B439</f>
        <v>168</v>
      </c>
      <c r="G439" s="25">
        <f>'相関係数'!C439</f>
        <v>52</v>
      </c>
      <c r="T439" s="29">
        <f>A57</f>
        <v>45413</v>
      </c>
      <c r="U439" s="20">
        <f>D57</f>
        <v>165</v>
      </c>
      <c r="V439" s="30">
        <f t="shared" ref="V439:W439" si="444">B57</f>
        <v>194</v>
      </c>
      <c r="W439" s="20">
        <f t="shared" si="444"/>
        <v>29</v>
      </c>
    </row>
    <row r="440" ht="18.75" customHeight="1">
      <c r="A440" s="21">
        <f t="shared" si="4"/>
        <v>44841</v>
      </c>
      <c r="B440" s="22">
        <f t="shared" si="5"/>
        <v>169</v>
      </c>
      <c r="C440" s="22">
        <f t="shared" si="6"/>
        <v>53</v>
      </c>
      <c r="D440" s="23">
        <f t="shared" si="7"/>
        <v>116</v>
      </c>
      <c r="E440" s="24">
        <f>'相関係数'!A440</f>
        <v>44841</v>
      </c>
      <c r="F440" s="25">
        <f>'相関係数'!B440</f>
        <v>169</v>
      </c>
      <c r="G440" s="25">
        <f>'相関係数'!C440</f>
        <v>53</v>
      </c>
      <c r="T440" s="29">
        <f>A56</f>
        <v>45414</v>
      </c>
      <c r="U440" s="20">
        <f>D56</f>
        <v>161</v>
      </c>
      <c r="V440" s="30">
        <f t="shared" ref="V440:W440" si="445">B56</f>
        <v>189</v>
      </c>
      <c r="W440" s="20">
        <f t="shared" si="445"/>
        <v>28</v>
      </c>
    </row>
    <row r="441" ht="18.75" customHeight="1">
      <c r="A441" s="21">
        <f t="shared" si="4"/>
        <v>44840</v>
      </c>
      <c r="B441" s="22">
        <f t="shared" si="5"/>
        <v>169</v>
      </c>
      <c r="C441" s="22">
        <f t="shared" si="6"/>
        <v>53</v>
      </c>
      <c r="D441" s="23">
        <f t="shared" si="7"/>
        <v>116</v>
      </c>
      <c r="E441" s="24">
        <f>'相関係数'!A441</f>
        <v>44840</v>
      </c>
      <c r="F441" s="25">
        <f>'相関係数'!B441</f>
        <v>169</v>
      </c>
      <c r="G441" s="25">
        <f>'相関係数'!C441</f>
        <v>53</v>
      </c>
      <c r="T441" s="29">
        <f>A55</f>
        <v>45419</v>
      </c>
      <c r="U441" s="20">
        <f>D55</f>
        <v>210</v>
      </c>
      <c r="V441" s="30">
        <f t="shared" ref="V441:W441" si="446">B55</f>
        <v>239</v>
      </c>
      <c r="W441" s="20">
        <f t="shared" si="446"/>
        <v>29</v>
      </c>
    </row>
    <row r="442" ht="18.75" customHeight="1">
      <c r="A442" s="21">
        <f t="shared" si="4"/>
        <v>44839</v>
      </c>
      <c r="B442" s="22">
        <f t="shared" si="5"/>
        <v>165</v>
      </c>
      <c r="C442" s="22">
        <f t="shared" si="6"/>
        <v>54</v>
      </c>
      <c r="D442" s="23">
        <f t="shared" si="7"/>
        <v>111</v>
      </c>
      <c r="E442" s="24">
        <f>'相関係数'!A442</f>
        <v>44839</v>
      </c>
      <c r="F442" s="25">
        <f>'相関係数'!B442</f>
        <v>165</v>
      </c>
      <c r="G442" s="25">
        <f>'相関係数'!C442</f>
        <v>54</v>
      </c>
      <c r="T442" s="29">
        <f>A54</f>
        <v>45420</v>
      </c>
      <c r="U442" s="20">
        <f>D54</f>
        <v>246</v>
      </c>
      <c r="V442" s="30">
        <f t="shared" ref="V442:W442" si="447">B54</f>
        <v>276</v>
      </c>
      <c r="W442" s="20">
        <f t="shared" si="447"/>
        <v>30</v>
      </c>
    </row>
    <row r="443" ht="18.75" customHeight="1">
      <c r="A443" s="21">
        <f t="shared" si="4"/>
        <v>44838</v>
      </c>
      <c r="B443" s="22">
        <f t="shared" si="5"/>
        <v>166</v>
      </c>
      <c r="C443" s="22">
        <f t="shared" si="6"/>
        <v>53</v>
      </c>
      <c r="D443" s="23">
        <f t="shared" si="7"/>
        <v>113</v>
      </c>
      <c r="E443" s="24">
        <f>'相関係数'!A443</f>
        <v>44838</v>
      </c>
      <c r="F443" s="25">
        <f>'相関係数'!B443</f>
        <v>166</v>
      </c>
      <c r="G443" s="25">
        <f>'相関係数'!C443</f>
        <v>53</v>
      </c>
      <c r="T443" s="29">
        <f>A53</f>
        <v>45421</v>
      </c>
      <c r="U443" s="20">
        <f>D53</f>
        <v>248</v>
      </c>
      <c r="V443" s="30">
        <f t="shared" ref="V443:W443" si="448">B53</f>
        <v>277</v>
      </c>
      <c r="W443" s="20">
        <f t="shared" si="448"/>
        <v>29</v>
      </c>
    </row>
    <row r="444" ht="18.75" customHeight="1">
      <c r="A444" s="21">
        <f t="shared" si="4"/>
        <v>44837</v>
      </c>
      <c r="B444" s="22">
        <f t="shared" si="5"/>
        <v>161</v>
      </c>
      <c r="C444" s="22">
        <f t="shared" si="6"/>
        <v>55</v>
      </c>
      <c r="D444" s="23">
        <f t="shared" si="7"/>
        <v>106</v>
      </c>
      <c r="E444" s="24">
        <f>'相関係数'!A444</f>
        <v>44837</v>
      </c>
      <c r="F444" s="25">
        <f>'相関係数'!B444</f>
        <v>161</v>
      </c>
      <c r="G444" s="25">
        <f>'相関係数'!C444</f>
        <v>55</v>
      </c>
      <c r="T444" s="29">
        <f>A52</f>
        <v>45422</v>
      </c>
      <c r="U444" s="20">
        <f>D52</f>
        <v>234</v>
      </c>
      <c r="V444" s="30">
        <f t="shared" ref="V444:W444" si="449">B52</f>
        <v>264</v>
      </c>
      <c r="W444" s="20">
        <f t="shared" si="449"/>
        <v>30</v>
      </c>
    </row>
    <row r="445" ht="18.75" customHeight="1">
      <c r="A445" s="21">
        <f t="shared" si="4"/>
        <v>44834</v>
      </c>
      <c r="B445" s="22">
        <f t="shared" si="5"/>
        <v>162</v>
      </c>
      <c r="C445" s="22">
        <f t="shared" si="6"/>
        <v>55</v>
      </c>
      <c r="D445" s="23">
        <f t="shared" si="7"/>
        <v>107</v>
      </c>
      <c r="E445" s="24">
        <f>'相関係数'!A445</f>
        <v>44834</v>
      </c>
      <c r="F445" s="25">
        <f>'相関係数'!B445</f>
        <v>162</v>
      </c>
      <c r="G445" s="25">
        <f>'相関係数'!C445</f>
        <v>55</v>
      </c>
      <c r="T445" s="29">
        <f>A51</f>
        <v>45425</v>
      </c>
      <c r="U445" s="20">
        <f>D51</f>
        <v>225</v>
      </c>
      <c r="V445" s="30">
        <f t="shared" ref="V445:W445" si="450">B51</f>
        <v>255</v>
      </c>
      <c r="W445" s="20">
        <f t="shared" si="450"/>
        <v>30</v>
      </c>
    </row>
    <row r="446" ht="18.75" customHeight="1">
      <c r="A446" s="21">
        <f t="shared" si="4"/>
        <v>44833</v>
      </c>
      <c r="B446" s="22">
        <f t="shared" si="5"/>
        <v>166</v>
      </c>
      <c r="C446" s="22">
        <f t="shared" si="6"/>
        <v>54</v>
      </c>
      <c r="D446" s="23">
        <f t="shared" si="7"/>
        <v>112</v>
      </c>
      <c r="E446" s="24">
        <f>'相関係数'!A446</f>
        <v>44833</v>
      </c>
      <c r="F446" s="25">
        <f>'相関係数'!B446</f>
        <v>166</v>
      </c>
      <c r="G446" s="25">
        <f>'相関係数'!C446</f>
        <v>54</v>
      </c>
      <c r="T446" s="29">
        <f>A50</f>
        <v>45426</v>
      </c>
      <c r="U446" s="20">
        <f>D50</f>
        <v>226</v>
      </c>
      <c r="V446" s="30">
        <f t="shared" ref="V446:W446" si="451">B50</f>
        <v>257</v>
      </c>
      <c r="W446" s="20">
        <f t="shared" si="451"/>
        <v>31</v>
      </c>
    </row>
    <row r="447" ht="18.75" customHeight="1">
      <c r="A447" s="21">
        <f t="shared" si="4"/>
        <v>44832</v>
      </c>
      <c r="B447" s="22">
        <f t="shared" si="5"/>
        <v>163</v>
      </c>
      <c r="C447" s="22">
        <f t="shared" si="6"/>
        <v>58</v>
      </c>
      <c r="D447" s="23">
        <f t="shared" si="7"/>
        <v>105</v>
      </c>
      <c r="E447" s="24">
        <f>'相関係数'!A447</f>
        <v>44832</v>
      </c>
      <c r="F447" s="25">
        <f>'相関係数'!B447</f>
        <v>163</v>
      </c>
      <c r="G447" s="25">
        <f>'相関係数'!C447</f>
        <v>58</v>
      </c>
      <c r="T447" s="29">
        <f>A49</f>
        <v>45427</v>
      </c>
      <c r="U447" s="20">
        <f>D49</f>
        <v>216</v>
      </c>
      <c r="V447" s="30">
        <f t="shared" ref="V447:W447" si="452">B49</f>
        <v>249</v>
      </c>
      <c r="W447" s="20">
        <f t="shared" si="452"/>
        <v>33</v>
      </c>
    </row>
    <row r="448" ht="18.75" customHeight="1">
      <c r="A448" s="21">
        <f t="shared" si="4"/>
        <v>44831</v>
      </c>
      <c r="B448" s="22">
        <f t="shared" si="5"/>
        <v>171</v>
      </c>
      <c r="C448" s="22">
        <f t="shared" si="6"/>
        <v>56</v>
      </c>
      <c r="D448" s="23">
        <f t="shared" si="7"/>
        <v>115</v>
      </c>
      <c r="E448" s="24">
        <f>'相関係数'!A448</f>
        <v>44831</v>
      </c>
      <c r="F448" s="25">
        <f>'相関係数'!B448</f>
        <v>171</v>
      </c>
      <c r="G448" s="25">
        <f>'相関係数'!C448</f>
        <v>56</v>
      </c>
      <c r="T448" s="29">
        <f>A48</f>
        <v>45428</v>
      </c>
      <c r="U448" s="20">
        <f>D48</f>
        <v>208</v>
      </c>
      <c r="V448" s="30">
        <f t="shared" ref="V448:W448" si="453">B48</f>
        <v>243</v>
      </c>
      <c r="W448" s="20">
        <f t="shared" si="453"/>
        <v>35</v>
      </c>
    </row>
    <row r="449" ht="18.75" customHeight="1">
      <c r="A449" s="21">
        <f t="shared" si="4"/>
        <v>44830</v>
      </c>
      <c r="B449" s="22">
        <f t="shared" si="5"/>
        <v>169</v>
      </c>
      <c r="C449" s="22">
        <f t="shared" si="6"/>
        <v>54</v>
      </c>
      <c r="D449" s="23">
        <f t="shared" si="7"/>
        <v>115</v>
      </c>
      <c r="E449" s="24">
        <f>'相関係数'!A449</f>
        <v>44830</v>
      </c>
      <c r="F449" s="25">
        <f>'相関係数'!B449</f>
        <v>169</v>
      </c>
      <c r="G449" s="25">
        <f>'相関係数'!C449</f>
        <v>54</v>
      </c>
      <c r="T449" s="29">
        <f>A47</f>
        <v>45429</v>
      </c>
      <c r="U449" s="20">
        <f>D47</f>
        <v>217</v>
      </c>
      <c r="V449" s="30">
        <f t="shared" ref="V449:W449" si="454">B47</f>
        <v>252</v>
      </c>
      <c r="W449" s="20">
        <f t="shared" si="454"/>
        <v>35</v>
      </c>
    </row>
    <row r="450" ht="18.75" customHeight="1">
      <c r="A450" s="21">
        <f t="shared" si="4"/>
        <v>44826</v>
      </c>
      <c r="B450" s="22">
        <f t="shared" si="5"/>
        <v>173</v>
      </c>
      <c r="C450" s="22">
        <f t="shared" si="6"/>
        <v>55</v>
      </c>
      <c r="D450" s="23">
        <f t="shared" si="7"/>
        <v>118</v>
      </c>
      <c r="E450" s="24">
        <f>'相関係数'!A450</f>
        <v>44826</v>
      </c>
      <c r="F450" s="25">
        <f>'相関係数'!B450</f>
        <v>173</v>
      </c>
      <c r="G450" s="25">
        <f>'相関係数'!C450</f>
        <v>55</v>
      </c>
      <c r="T450" s="29">
        <f>A46</f>
        <v>45432</v>
      </c>
      <c r="U450" s="20">
        <f>D46</f>
        <v>233</v>
      </c>
      <c r="V450" s="30">
        <f t="shared" ref="V450:W450" si="455">B46</f>
        <v>274</v>
      </c>
      <c r="W450" s="20">
        <f t="shared" si="455"/>
        <v>41</v>
      </c>
    </row>
    <row r="451" ht="18.75" customHeight="1">
      <c r="A451" s="21">
        <f t="shared" si="4"/>
        <v>44825</v>
      </c>
      <c r="B451" s="22">
        <f t="shared" si="5"/>
        <v>172</v>
      </c>
      <c r="C451" s="22">
        <f t="shared" si="6"/>
        <v>58</v>
      </c>
      <c r="D451" s="23">
        <f t="shared" si="7"/>
        <v>114</v>
      </c>
      <c r="E451" s="24">
        <f>'相関係数'!A451</f>
        <v>44825</v>
      </c>
      <c r="F451" s="25">
        <f>'相関係数'!B451</f>
        <v>172</v>
      </c>
      <c r="G451" s="25">
        <f>'相関係数'!C451</f>
        <v>58</v>
      </c>
      <c r="T451" s="29">
        <f>A45</f>
        <v>45433</v>
      </c>
      <c r="U451" s="20">
        <f>D45</f>
        <v>231</v>
      </c>
      <c r="V451" s="30">
        <f t="shared" ref="V451:W451" si="456">B45</f>
        <v>291</v>
      </c>
      <c r="W451" s="20">
        <f t="shared" si="456"/>
        <v>60</v>
      </c>
    </row>
    <row r="452" ht="18.75" customHeight="1">
      <c r="A452" s="21">
        <f t="shared" si="4"/>
        <v>44824</v>
      </c>
      <c r="B452" s="22">
        <f t="shared" si="5"/>
        <v>175</v>
      </c>
      <c r="C452" s="22">
        <f t="shared" si="6"/>
        <v>56</v>
      </c>
      <c r="D452" s="23">
        <f t="shared" si="7"/>
        <v>119</v>
      </c>
      <c r="E452" s="24">
        <f>'相関係数'!A452</f>
        <v>44824</v>
      </c>
      <c r="F452" s="25">
        <f>'相関係数'!B452</f>
        <v>175</v>
      </c>
      <c r="G452" s="25">
        <f>'相関係数'!C452</f>
        <v>56</v>
      </c>
      <c r="T452" s="29">
        <f>A44</f>
        <v>45434</v>
      </c>
      <c r="U452" s="20">
        <f>D44</f>
        <v>200</v>
      </c>
      <c r="V452" s="30">
        <f t="shared" ref="V452:W452" si="457">B44</f>
        <v>290</v>
      </c>
      <c r="W452" s="20">
        <f t="shared" si="457"/>
        <v>90</v>
      </c>
    </row>
    <row r="453" ht="18.75" customHeight="1">
      <c r="A453" s="21">
        <f t="shared" si="4"/>
        <v>44820</v>
      </c>
      <c r="B453" s="22">
        <f t="shared" si="5"/>
        <v>176</v>
      </c>
      <c r="C453" s="22">
        <f t="shared" si="6"/>
        <v>59</v>
      </c>
      <c r="D453" s="23">
        <f t="shared" si="7"/>
        <v>117</v>
      </c>
      <c r="E453" s="24">
        <f>'相関係数'!A453</f>
        <v>44820</v>
      </c>
      <c r="F453" s="25">
        <f>'相関係数'!B453</f>
        <v>176</v>
      </c>
      <c r="G453" s="25">
        <f>'相関係数'!C453</f>
        <v>59</v>
      </c>
      <c r="T453" s="29">
        <f>A43</f>
        <v>45435</v>
      </c>
      <c r="U453" s="20">
        <f>D43</f>
        <v>205</v>
      </c>
      <c r="V453" s="30">
        <f t="shared" ref="V453:W453" si="458">B43</f>
        <v>281</v>
      </c>
      <c r="W453" s="20">
        <f t="shared" si="458"/>
        <v>76</v>
      </c>
    </row>
    <row r="454" ht="18.75" customHeight="1">
      <c r="A454" s="21">
        <f t="shared" si="4"/>
        <v>44819</v>
      </c>
      <c r="B454" s="22">
        <f t="shared" si="5"/>
        <v>180</v>
      </c>
      <c r="C454" s="22">
        <f t="shared" si="6"/>
        <v>65</v>
      </c>
      <c r="D454" s="23">
        <f t="shared" si="7"/>
        <v>115</v>
      </c>
      <c r="E454" s="24">
        <f>'相関係数'!A454</f>
        <v>44819</v>
      </c>
      <c r="F454" s="25">
        <f>'相関係数'!B454</f>
        <v>180</v>
      </c>
      <c r="G454" s="25">
        <f>'相関係数'!C454</f>
        <v>65</v>
      </c>
      <c r="T454" s="29">
        <f>A42</f>
        <v>45436</v>
      </c>
      <c r="U454" s="20">
        <f>D42</f>
        <v>202</v>
      </c>
      <c r="V454" s="30">
        <f t="shared" ref="V454:W454" si="459">B42</f>
        <v>259</v>
      </c>
      <c r="W454" s="20">
        <f t="shared" si="459"/>
        <v>57</v>
      </c>
    </row>
    <row r="455" ht="18.75" customHeight="1">
      <c r="A455" s="21">
        <f t="shared" si="4"/>
        <v>44818</v>
      </c>
      <c r="B455" s="22">
        <f t="shared" si="5"/>
        <v>181</v>
      </c>
      <c r="C455" s="22">
        <f t="shared" si="6"/>
        <v>54</v>
      </c>
      <c r="D455" s="23">
        <f t="shared" si="7"/>
        <v>127</v>
      </c>
      <c r="E455" s="24">
        <f>'相関係数'!A455</f>
        <v>44818</v>
      </c>
      <c r="F455" s="25">
        <f>'相関係数'!B455</f>
        <v>181</v>
      </c>
      <c r="G455" s="25">
        <f>'相関係数'!C455</f>
        <v>54</v>
      </c>
      <c r="T455" s="29">
        <f>A41</f>
        <v>45439</v>
      </c>
      <c r="U455" s="20">
        <f>D41</f>
        <v>198</v>
      </c>
      <c r="V455" s="30">
        <f t="shared" ref="V455:W455" si="460">B41</f>
        <v>265</v>
      </c>
      <c r="W455" s="20">
        <f t="shared" si="460"/>
        <v>67</v>
      </c>
    </row>
    <row r="456" ht="18.75" customHeight="1">
      <c r="A456" s="21">
        <f t="shared" si="4"/>
        <v>44817</v>
      </c>
      <c r="B456" s="22">
        <f t="shared" si="5"/>
        <v>181</v>
      </c>
      <c r="C456" s="22">
        <f t="shared" si="6"/>
        <v>51</v>
      </c>
      <c r="D456" s="23">
        <f t="shared" si="7"/>
        <v>130</v>
      </c>
      <c r="E456" s="24">
        <f>'相関係数'!A456</f>
        <v>44817</v>
      </c>
      <c r="F456" s="25">
        <f>'相関係数'!B456</f>
        <v>181</v>
      </c>
      <c r="G456" s="25">
        <f>'相関係数'!C456</f>
        <v>51</v>
      </c>
      <c r="T456" s="29">
        <f>A40</f>
        <v>45440</v>
      </c>
      <c r="U456" s="20">
        <f>D40</f>
        <v>200</v>
      </c>
      <c r="V456" s="30">
        <f t="shared" ref="V456:W456" si="461">B40</f>
        <v>262</v>
      </c>
      <c r="W456" s="20">
        <f t="shared" si="461"/>
        <v>62</v>
      </c>
    </row>
    <row r="457" ht="18.75" customHeight="1">
      <c r="A457" s="21">
        <f t="shared" si="4"/>
        <v>44816</v>
      </c>
      <c r="B457" s="22">
        <f t="shared" si="5"/>
        <v>182</v>
      </c>
      <c r="C457" s="22">
        <f t="shared" si="6"/>
        <v>52</v>
      </c>
      <c r="D457" s="23">
        <f t="shared" si="7"/>
        <v>130</v>
      </c>
      <c r="E457" s="24">
        <f>'相関係数'!A457</f>
        <v>44816</v>
      </c>
      <c r="F457" s="25">
        <f>'相関係数'!B457</f>
        <v>182</v>
      </c>
      <c r="G457" s="25">
        <f>'相関係数'!C457</f>
        <v>52</v>
      </c>
      <c r="T457" s="29">
        <f>A39</f>
        <v>45441</v>
      </c>
      <c r="U457" s="20">
        <f>D39</f>
        <v>184</v>
      </c>
      <c r="V457" s="30">
        <f t="shared" ref="V457:W457" si="462">B39</f>
        <v>240</v>
      </c>
      <c r="W457" s="20">
        <f t="shared" si="462"/>
        <v>56</v>
      </c>
    </row>
    <row r="458" ht="18.75" customHeight="1">
      <c r="A458" s="21">
        <f t="shared" si="4"/>
        <v>44813</v>
      </c>
      <c r="B458" s="22">
        <f t="shared" si="5"/>
        <v>180</v>
      </c>
      <c r="C458" s="22">
        <f t="shared" si="6"/>
        <v>54</v>
      </c>
      <c r="D458" s="23">
        <f t="shared" si="7"/>
        <v>126</v>
      </c>
      <c r="E458" s="24">
        <f>'相関係数'!A458</f>
        <v>44813</v>
      </c>
      <c r="F458" s="25">
        <f>'相関係数'!B458</f>
        <v>180</v>
      </c>
      <c r="G458" s="25">
        <f>'相関係数'!C458</f>
        <v>54</v>
      </c>
      <c r="T458" s="29">
        <f>A38</f>
        <v>45442</v>
      </c>
      <c r="U458" s="20">
        <f>D38</f>
        <v>174</v>
      </c>
      <c r="V458" s="30">
        <f t="shared" ref="V458:W458" si="463">B38</f>
        <v>229</v>
      </c>
      <c r="W458" s="20">
        <f t="shared" si="463"/>
        <v>55</v>
      </c>
    </row>
    <row r="459" ht="18.75" customHeight="1">
      <c r="A459" s="21">
        <f t="shared" si="4"/>
        <v>44812</v>
      </c>
      <c r="B459" s="22">
        <f t="shared" si="5"/>
        <v>179</v>
      </c>
      <c r="C459" s="22">
        <f t="shared" si="6"/>
        <v>43</v>
      </c>
      <c r="D459" s="23">
        <f t="shared" si="7"/>
        <v>136</v>
      </c>
      <c r="E459" s="24">
        <f>'相関係数'!A459</f>
        <v>44812</v>
      </c>
      <c r="F459" s="25">
        <f>'相関係数'!B459</f>
        <v>179</v>
      </c>
      <c r="G459" s="25">
        <f>'相関係数'!C459</f>
        <v>43</v>
      </c>
      <c r="T459" s="29">
        <f>A37</f>
        <v>45443</v>
      </c>
      <c r="U459" s="20">
        <f>D37</f>
        <v>185</v>
      </c>
      <c r="V459" s="30">
        <f t="shared" ref="V459:W459" si="464">B37</f>
        <v>237</v>
      </c>
      <c r="W459" s="20">
        <f t="shared" si="464"/>
        <v>52</v>
      </c>
    </row>
    <row r="460" ht="18.75" customHeight="1">
      <c r="A460" s="21">
        <f t="shared" si="4"/>
        <v>44811</v>
      </c>
      <c r="B460" s="22">
        <f t="shared" si="5"/>
        <v>179</v>
      </c>
      <c r="C460" s="22">
        <f t="shared" si="6"/>
        <v>44</v>
      </c>
      <c r="D460" s="23">
        <f t="shared" si="7"/>
        <v>135</v>
      </c>
      <c r="E460" s="24">
        <f>'相関係数'!A460</f>
        <v>44811</v>
      </c>
      <c r="F460" s="25">
        <f>'相関係数'!B460</f>
        <v>179</v>
      </c>
      <c r="G460" s="25">
        <f>'相関係数'!C460</f>
        <v>44</v>
      </c>
      <c r="T460" s="29">
        <f>A36</f>
        <v>45446</v>
      </c>
      <c r="U460" s="20">
        <f>D36</f>
        <v>172</v>
      </c>
      <c r="V460" s="30">
        <f t="shared" ref="V460:W460" si="465">B36</f>
        <v>234</v>
      </c>
      <c r="W460" s="20">
        <f t="shared" si="465"/>
        <v>62</v>
      </c>
    </row>
    <row r="461" ht="18.75" customHeight="1">
      <c r="A461" s="21">
        <f t="shared" si="4"/>
        <v>44810</v>
      </c>
      <c r="B461" s="22">
        <f t="shared" si="5"/>
        <v>180</v>
      </c>
      <c r="C461" s="22">
        <f t="shared" si="6"/>
        <v>44</v>
      </c>
      <c r="D461" s="23">
        <f t="shared" si="7"/>
        <v>136</v>
      </c>
      <c r="E461" s="24">
        <f>'相関係数'!A461</f>
        <v>44810</v>
      </c>
      <c r="F461" s="25">
        <f>'相関係数'!B461</f>
        <v>180</v>
      </c>
      <c r="G461" s="25">
        <f>'相関係数'!C461</f>
        <v>44</v>
      </c>
      <c r="T461" s="29">
        <f>A35</f>
        <v>45447</v>
      </c>
      <c r="U461" s="20">
        <f>D35</f>
        <v>169</v>
      </c>
      <c r="V461" s="30">
        <f t="shared" ref="V461:W461" si="466">B35</f>
        <v>235</v>
      </c>
      <c r="W461" s="20">
        <f t="shared" si="466"/>
        <v>66</v>
      </c>
    </row>
    <row r="462" ht="18.75" customHeight="1">
      <c r="A462" s="21">
        <f t="shared" si="4"/>
        <v>44809</v>
      </c>
      <c r="B462" s="22">
        <f t="shared" si="5"/>
        <v>180</v>
      </c>
      <c r="C462" s="22">
        <f t="shared" si="6"/>
        <v>44</v>
      </c>
      <c r="D462" s="23">
        <f t="shared" si="7"/>
        <v>136</v>
      </c>
      <c r="E462" s="24">
        <f>'相関係数'!A462</f>
        <v>44809</v>
      </c>
      <c r="F462" s="25">
        <f>'相関係数'!B462</f>
        <v>180</v>
      </c>
      <c r="G462" s="25">
        <f>'相関係数'!C462</f>
        <v>44</v>
      </c>
      <c r="T462" s="29">
        <f>A34</f>
        <v>45448</v>
      </c>
      <c r="U462" s="20">
        <f>D34</f>
        <v>141</v>
      </c>
      <c r="V462" s="30">
        <f t="shared" ref="V462:W462" si="467">B34</f>
        <v>225</v>
      </c>
      <c r="W462" s="20">
        <f t="shared" si="467"/>
        <v>84</v>
      </c>
    </row>
    <row r="463" ht="18.75" customHeight="1">
      <c r="A463" s="21">
        <f t="shared" si="4"/>
        <v>44806</v>
      </c>
      <c r="B463" s="22">
        <f t="shared" si="5"/>
        <v>179</v>
      </c>
      <c r="C463" s="22">
        <f t="shared" si="6"/>
        <v>44</v>
      </c>
      <c r="D463" s="23">
        <f t="shared" si="7"/>
        <v>135</v>
      </c>
      <c r="E463" s="24">
        <f>'相関係数'!A463</f>
        <v>44806</v>
      </c>
      <c r="F463" s="25">
        <f>'相関係数'!B463</f>
        <v>179</v>
      </c>
      <c r="G463" s="25">
        <f>'相関係数'!C463</f>
        <v>44</v>
      </c>
      <c r="T463" s="29">
        <f>A33</f>
        <v>45449</v>
      </c>
      <c r="U463" s="20">
        <f>D33</f>
        <v>141</v>
      </c>
      <c r="V463" s="30">
        <f t="shared" ref="V463:W463" si="468">B33</f>
        <v>219</v>
      </c>
      <c r="W463" s="20">
        <f t="shared" si="468"/>
        <v>78</v>
      </c>
    </row>
    <row r="464" ht="18.75" customHeight="1">
      <c r="A464" s="21">
        <f t="shared" si="4"/>
        <v>44805</v>
      </c>
      <c r="B464" s="22">
        <f t="shared" si="5"/>
        <v>181</v>
      </c>
      <c r="C464" s="22">
        <f t="shared" si="6"/>
        <v>42</v>
      </c>
      <c r="D464" s="23">
        <f t="shared" si="7"/>
        <v>139</v>
      </c>
      <c r="E464" s="24">
        <f>'相関係数'!A464</f>
        <v>44805</v>
      </c>
      <c r="F464" s="25">
        <f>'相関係数'!B464</f>
        <v>181</v>
      </c>
      <c r="G464" s="25">
        <f>'相関係数'!C464</f>
        <v>42</v>
      </c>
      <c r="T464" s="29">
        <f>A32</f>
        <v>45450</v>
      </c>
      <c r="U464" s="20">
        <f>D32</f>
        <v>141</v>
      </c>
      <c r="V464" s="30">
        <f t="shared" ref="V464:W464" si="469">B32</f>
        <v>226</v>
      </c>
      <c r="W464" s="20">
        <f t="shared" si="469"/>
        <v>85</v>
      </c>
    </row>
    <row r="465" ht="18.75" customHeight="1">
      <c r="A465" s="21">
        <f t="shared" si="4"/>
        <v>44804</v>
      </c>
      <c r="B465" s="22">
        <f t="shared" si="5"/>
        <v>185</v>
      </c>
      <c r="C465" s="22">
        <f t="shared" si="6"/>
        <v>43</v>
      </c>
      <c r="D465" s="23">
        <f t="shared" si="7"/>
        <v>142</v>
      </c>
      <c r="E465" s="24">
        <f>'相関係数'!A465</f>
        <v>44804</v>
      </c>
      <c r="F465" s="25">
        <f>'相関係数'!B465</f>
        <v>185</v>
      </c>
      <c r="G465" s="25">
        <f>'相関係数'!C465</f>
        <v>43</v>
      </c>
      <c r="T465" s="29">
        <f>A31</f>
        <v>45453</v>
      </c>
      <c r="U465" s="20">
        <f>D31</f>
        <v>135</v>
      </c>
      <c r="V465" s="30">
        <f t="shared" ref="V465:W465" si="470">B31</f>
        <v>216</v>
      </c>
      <c r="W465" s="20">
        <f t="shared" si="470"/>
        <v>81</v>
      </c>
    </row>
    <row r="466" ht="18.75" customHeight="1">
      <c r="A466" s="21">
        <f t="shared" si="4"/>
        <v>44803</v>
      </c>
      <c r="B466" s="22">
        <f t="shared" si="5"/>
        <v>181</v>
      </c>
      <c r="C466" s="22">
        <f t="shared" si="6"/>
        <v>42</v>
      </c>
      <c r="D466" s="23">
        <f t="shared" si="7"/>
        <v>139</v>
      </c>
      <c r="E466" s="24">
        <f>'相関係数'!A466</f>
        <v>44803</v>
      </c>
      <c r="F466" s="25">
        <f>'相関係数'!B466</f>
        <v>181</v>
      </c>
      <c r="G466" s="25">
        <f>'相関係数'!C466</f>
        <v>42</v>
      </c>
      <c r="T466" s="29">
        <f>A30</f>
        <v>45454</v>
      </c>
      <c r="U466" s="20">
        <f>D30</f>
        <v>127</v>
      </c>
      <c r="V466" s="30">
        <f t="shared" ref="V466:W466" si="471">B30</f>
        <v>216</v>
      </c>
      <c r="W466" s="20">
        <f t="shared" si="471"/>
        <v>89</v>
      </c>
    </row>
    <row r="467" ht="18.75" customHeight="1">
      <c r="A467" s="21">
        <f t="shared" si="4"/>
        <v>44802</v>
      </c>
      <c r="B467" s="22">
        <f t="shared" si="5"/>
        <v>183</v>
      </c>
      <c r="C467" s="22">
        <f t="shared" si="6"/>
        <v>42</v>
      </c>
      <c r="D467" s="23">
        <f t="shared" si="7"/>
        <v>141</v>
      </c>
      <c r="E467" s="24">
        <f>'相関係数'!A467</f>
        <v>44802</v>
      </c>
      <c r="F467" s="25">
        <f>'相関係数'!B467</f>
        <v>183</v>
      </c>
      <c r="G467" s="25">
        <f>'相関係数'!C467</f>
        <v>42</v>
      </c>
      <c r="T467" s="29">
        <f>A29</f>
        <v>45455</v>
      </c>
      <c r="U467" s="20">
        <f>D29</f>
        <v>112</v>
      </c>
      <c r="V467" s="30">
        <f t="shared" ref="V467:W467" si="472">B29</f>
        <v>219</v>
      </c>
      <c r="W467" s="20">
        <f t="shared" si="472"/>
        <v>107</v>
      </c>
    </row>
    <row r="468" ht="18.75" customHeight="1">
      <c r="A468" s="21">
        <f t="shared" si="4"/>
        <v>44799</v>
      </c>
      <c r="B468" s="22">
        <f t="shared" si="5"/>
        <v>182</v>
      </c>
      <c r="C468" s="22">
        <f t="shared" si="6"/>
        <v>42</v>
      </c>
      <c r="D468" s="23">
        <f t="shared" si="7"/>
        <v>140</v>
      </c>
      <c r="E468" s="24">
        <f>'相関係数'!A468</f>
        <v>44799</v>
      </c>
      <c r="F468" s="25">
        <f>'相関係数'!B468</f>
        <v>182</v>
      </c>
      <c r="G468" s="25">
        <f>'相関係数'!C468</f>
        <v>42</v>
      </c>
      <c r="T468" s="29">
        <f>A28</f>
        <v>45456</v>
      </c>
      <c r="U468" s="20">
        <f>D28</f>
        <v>135</v>
      </c>
      <c r="V468" s="30">
        <f t="shared" ref="V468:W468" si="473">B28</f>
        <v>230</v>
      </c>
      <c r="W468" s="20">
        <f t="shared" si="473"/>
        <v>95</v>
      </c>
    </row>
    <row r="469" ht="18.75" customHeight="1">
      <c r="A469" s="21">
        <f t="shared" si="4"/>
        <v>44798</v>
      </c>
      <c r="B469" s="22">
        <f t="shared" si="5"/>
        <v>182</v>
      </c>
      <c r="C469" s="22">
        <f t="shared" si="6"/>
        <v>42</v>
      </c>
      <c r="D469" s="23">
        <f t="shared" si="7"/>
        <v>140</v>
      </c>
      <c r="E469" s="24">
        <f>'相関係数'!A469</f>
        <v>44798</v>
      </c>
      <c r="F469" s="25">
        <f>'相関係数'!B469</f>
        <v>182</v>
      </c>
      <c r="G469" s="25">
        <f>'相関係数'!C469</f>
        <v>42</v>
      </c>
      <c r="T469" s="29">
        <f>A27</f>
        <v>45457</v>
      </c>
      <c r="U469" s="20">
        <f>D27</f>
        <v>131</v>
      </c>
      <c r="V469" s="30">
        <f t="shared" ref="V469:W469" si="474">B27</f>
        <v>221</v>
      </c>
      <c r="W469" s="20">
        <f t="shared" si="474"/>
        <v>90</v>
      </c>
    </row>
    <row r="470" ht="18.75" customHeight="1">
      <c r="A470" s="21">
        <f t="shared" si="4"/>
        <v>44797</v>
      </c>
      <c r="B470" s="22">
        <f t="shared" si="5"/>
        <v>181</v>
      </c>
      <c r="C470" s="22">
        <f t="shared" si="6"/>
        <v>43</v>
      </c>
      <c r="D470" s="23">
        <f t="shared" si="7"/>
        <v>138</v>
      </c>
      <c r="E470" s="24">
        <f>'相関係数'!A470</f>
        <v>44797</v>
      </c>
      <c r="F470" s="25">
        <f>'相関係数'!B470</f>
        <v>181</v>
      </c>
      <c r="G470" s="25">
        <f>'相関係数'!C470</f>
        <v>43</v>
      </c>
      <c r="T470" s="29">
        <f>A26</f>
        <v>45460</v>
      </c>
      <c r="U470" s="20">
        <f>D26</f>
        <v>129</v>
      </c>
      <c r="V470" s="30">
        <f t="shared" ref="V470:W470" si="475">B26</f>
        <v>218</v>
      </c>
      <c r="W470" s="20">
        <f t="shared" si="475"/>
        <v>89</v>
      </c>
    </row>
    <row r="471" ht="18.75" customHeight="1">
      <c r="A471" s="21">
        <f t="shared" si="4"/>
        <v>44796</v>
      </c>
      <c r="B471" s="22">
        <f t="shared" si="5"/>
        <v>183</v>
      </c>
      <c r="C471" s="22">
        <f t="shared" si="6"/>
        <v>45</v>
      </c>
      <c r="D471" s="23">
        <f t="shared" si="7"/>
        <v>138</v>
      </c>
      <c r="E471" s="24">
        <f>'相関係数'!A471</f>
        <v>44796</v>
      </c>
      <c r="F471" s="25">
        <f>'相関係数'!B471</f>
        <v>183</v>
      </c>
      <c r="G471" s="25">
        <f>'相関係数'!C471</f>
        <v>45</v>
      </c>
      <c r="T471" s="29">
        <f>A25</f>
        <v>45461</v>
      </c>
      <c r="U471" s="20">
        <f>D25</f>
        <v>135</v>
      </c>
      <c r="V471" s="30">
        <f t="shared" ref="V471:W471" si="476">B25</f>
        <v>219</v>
      </c>
      <c r="W471" s="20">
        <f t="shared" si="476"/>
        <v>84</v>
      </c>
    </row>
    <row r="472" ht="18.75" customHeight="1">
      <c r="A472" s="21">
        <f t="shared" si="4"/>
        <v>44795</v>
      </c>
      <c r="B472" s="22">
        <f t="shared" si="5"/>
        <v>182</v>
      </c>
      <c r="C472" s="22">
        <f t="shared" si="6"/>
        <v>47</v>
      </c>
      <c r="D472" s="23">
        <f t="shared" si="7"/>
        <v>135</v>
      </c>
      <c r="E472" s="24">
        <f>'相関係数'!A472</f>
        <v>44795</v>
      </c>
      <c r="F472" s="25">
        <f>'相関係数'!B472</f>
        <v>182</v>
      </c>
      <c r="G472" s="25">
        <f>'相関係数'!C472</f>
        <v>47</v>
      </c>
      <c r="T472" s="29">
        <f>A24</f>
        <v>45462</v>
      </c>
      <c r="U472" s="20">
        <f>D24</f>
        <v>139</v>
      </c>
      <c r="V472" s="30">
        <f t="shared" ref="V472:W472" si="477">B24</f>
        <v>222</v>
      </c>
      <c r="W472" s="20">
        <f t="shared" si="477"/>
        <v>83</v>
      </c>
    </row>
    <row r="473" ht="18.75" customHeight="1">
      <c r="A473" s="21">
        <f t="shared" si="4"/>
        <v>44792</v>
      </c>
      <c r="B473" s="22">
        <f t="shared" si="5"/>
        <v>185</v>
      </c>
      <c r="C473" s="22">
        <f t="shared" si="6"/>
        <v>55</v>
      </c>
      <c r="D473" s="23">
        <f t="shared" si="7"/>
        <v>130</v>
      </c>
      <c r="E473" s="24">
        <f>'相関係数'!A473</f>
        <v>44792</v>
      </c>
      <c r="F473" s="25">
        <f>'相関係数'!B473</f>
        <v>185</v>
      </c>
      <c r="G473" s="25">
        <f>'相関係数'!C473</f>
        <v>55</v>
      </c>
      <c r="T473" s="29">
        <f>A23</f>
        <v>45463</v>
      </c>
      <c r="U473" s="20">
        <f>D23</f>
        <v>139</v>
      </c>
      <c r="V473" s="30">
        <f t="shared" ref="V473:W473" si="478">B23</f>
        <v>220</v>
      </c>
      <c r="W473" s="20">
        <f t="shared" si="478"/>
        <v>81</v>
      </c>
    </row>
    <row r="474" ht="18.75" customHeight="1">
      <c r="A474" s="21">
        <f t="shared" si="4"/>
        <v>44791</v>
      </c>
      <c r="B474" s="22">
        <f t="shared" si="5"/>
        <v>184</v>
      </c>
      <c r="C474" s="22">
        <f t="shared" si="6"/>
        <v>56</v>
      </c>
      <c r="D474" s="23">
        <f t="shared" si="7"/>
        <v>128</v>
      </c>
      <c r="E474" s="24">
        <f>'相関係数'!A474</f>
        <v>44791</v>
      </c>
      <c r="F474" s="25">
        <f>'相関係数'!B474</f>
        <v>184</v>
      </c>
      <c r="G474" s="25">
        <f>'相関係数'!C474</f>
        <v>56</v>
      </c>
      <c r="T474" s="29">
        <f>A22</f>
        <v>45464</v>
      </c>
      <c r="U474" s="20">
        <f>D22</f>
        <v>139</v>
      </c>
      <c r="V474" s="30">
        <f t="shared" ref="V474:W474" si="479">B22</f>
        <v>226</v>
      </c>
      <c r="W474" s="20">
        <f t="shared" si="479"/>
        <v>87</v>
      </c>
    </row>
    <row r="475" ht="18.75" customHeight="1">
      <c r="A475" s="21">
        <f t="shared" si="4"/>
        <v>44790</v>
      </c>
      <c r="B475" s="22">
        <f t="shared" si="5"/>
        <v>183</v>
      </c>
      <c r="C475" s="22">
        <f t="shared" si="6"/>
        <v>51</v>
      </c>
      <c r="D475" s="23">
        <f t="shared" si="7"/>
        <v>132</v>
      </c>
      <c r="E475" s="24">
        <f>'相関係数'!A475</f>
        <v>44790</v>
      </c>
      <c r="F475" s="25">
        <f>'相関係数'!B475</f>
        <v>183</v>
      </c>
      <c r="G475" s="25">
        <f>'相関係数'!C475</f>
        <v>51</v>
      </c>
      <c r="T475" s="29">
        <f>A21</f>
        <v>45467</v>
      </c>
      <c r="U475" s="20">
        <f>D21</f>
        <v>136</v>
      </c>
      <c r="V475" s="30">
        <f t="shared" ref="V475:W475" si="480">B21</f>
        <v>231</v>
      </c>
      <c r="W475" s="20">
        <f t="shared" si="480"/>
        <v>95</v>
      </c>
    </row>
    <row r="476" ht="18.75" customHeight="1">
      <c r="A476" s="21">
        <f t="shared" si="4"/>
        <v>44789</v>
      </c>
      <c r="B476" s="22">
        <f t="shared" si="5"/>
        <v>183</v>
      </c>
      <c r="C476" s="22">
        <f t="shared" si="6"/>
        <v>52</v>
      </c>
      <c r="D476" s="23">
        <f t="shared" si="7"/>
        <v>131</v>
      </c>
      <c r="E476" s="24">
        <f>'相関係数'!A476</f>
        <v>44789</v>
      </c>
      <c r="F476" s="25">
        <f>'相関係数'!B476</f>
        <v>183</v>
      </c>
      <c r="G476" s="25">
        <f>'相関係数'!C476</f>
        <v>52</v>
      </c>
      <c r="T476" s="29">
        <f>A20</f>
        <v>45468</v>
      </c>
      <c r="U476" s="20">
        <f>D20</f>
        <v>135</v>
      </c>
      <c r="V476" s="30">
        <f t="shared" ref="V476:W476" si="481">B20</f>
        <v>230</v>
      </c>
      <c r="W476" s="20">
        <f t="shared" si="481"/>
        <v>95</v>
      </c>
    </row>
    <row r="477" ht="18.75" customHeight="1">
      <c r="A477" s="21">
        <f t="shared" si="4"/>
        <v>44788</v>
      </c>
      <c r="B477" s="22">
        <f t="shared" si="5"/>
        <v>181</v>
      </c>
      <c r="C477" s="22">
        <f t="shared" si="6"/>
        <v>51</v>
      </c>
      <c r="D477" s="23">
        <f t="shared" si="7"/>
        <v>130</v>
      </c>
      <c r="E477" s="24">
        <f>'相関係数'!A477</f>
        <v>44788</v>
      </c>
      <c r="F477" s="25">
        <f>'相関係数'!B477</f>
        <v>181</v>
      </c>
      <c r="G477" s="25">
        <f>'相関係数'!C477</f>
        <v>51</v>
      </c>
      <c r="T477" s="29">
        <f>A19</f>
        <v>45469</v>
      </c>
      <c r="U477" s="20">
        <f>D19</f>
        <v>124</v>
      </c>
      <c r="V477" s="30">
        <f t="shared" ref="V477:W477" si="482">B19</f>
        <v>224</v>
      </c>
      <c r="W477" s="20">
        <f t="shared" si="482"/>
        <v>100</v>
      </c>
    </row>
    <row r="478" ht="18.75" customHeight="1">
      <c r="A478" s="21">
        <f t="shared" si="4"/>
        <v>44785</v>
      </c>
      <c r="B478" s="22">
        <f t="shared" si="5"/>
        <v>180</v>
      </c>
      <c r="C478" s="22">
        <f t="shared" si="6"/>
        <v>52</v>
      </c>
      <c r="D478" s="23">
        <f t="shared" si="7"/>
        <v>128</v>
      </c>
      <c r="E478" s="24">
        <f>'相関係数'!A478</f>
        <v>44785</v>
      </c>
      <c r="F478" s="25">
        <f>'相関係数'!B478</f>
        <v>180</v>
      </c>
      <c r="G478" s="25">
        <f>'相関係数'!C478</f>
        <v>52</v>
      </c>
      <c r="T478" s="29">
        <f>A18</f>
        <v>45470</v>
      </c>
      <c r="U478" s="20">
        <f>D18</f>
        <v>117</v>
      </c>
      <c r="V478" s="30">
        <f t="shared" ref="V478:W478" si="483">B18</f>
        <v>220</v>
      </c>
      <c r="W478" s="20">
        <f t="shared" si="483"/>
        <v>103</v>
      </c>
    </row>
    <row r="479" ht="18.75" customHeight="1">
      <c r="A479" s="21">
        <f t="shared" si="4"/>
        <v>44783</v>
      </c>
      <c r="B479" s="22">
        <f t="shared" si="5"/>
        <v>179</v>
      </c>
      <c r="C479" s="22">
        <f t="shared" si="6"/>
        <v>51</v>
      </c>
      <c r="D479" s="23">
        <f t="shared" si="7"/>
        <v>128</v>
      </c>
      <c r="E479" s="24">
        <f>'相関係数'!A479</f>
        <v>44783</v>
      </c>
      <c r="F479" s="25">
        <f>'相関係数'!B479</f>
        <v>179</v>
      </c>
      <c r="G479" s="25">
        <f>'相関係数'!C479</f>
        <v>51</v>
      </c>
      <c r="T479" s="29">
        <f>A17</f>
        <v>45471</v>
      </c>
      <c r="U479" s="20">
        <f>D17</f>
        <v>118</v>
      </c>
      <c r="V479" s="30">
        <f t="shared" ref="V479:W479" si="484">B17</f>
        <v>217</v>
      </c>
      <c r="W479" s="20">
        <f t="shared" si="484"/>
        <v>99</v>
      </c>
    </row>
    <row r="480" ht="18.75" customHeight="1">
      <c r="A480" s="21">
        <f t="shared" si="4"/>
        <v>44782</v>
      </c>
      <c r="B480" s="22">
        <f t="shared" si="5"/>
        <v>181</v>
      </c>
      <c r="C480" s="22">
        <f t="shared" si="6"/>
        <v>52</v>
      </c>
      <c r="D480" s="23">
        <f t="shared" si="7"/>
        <v>129</v>
      </c>
      <c r="E480" s="24">
        <f>'相関係数'!A480</f>
        <v>44782</v>
      </c>
      <c r="F480" s="25">
        <f>'相関係数'!B480</f>
        <v>181</v>
      </c>
      <c r="G480" s="25">
        <f>'相関係数'!C480</f>
        <v>52</v>
      </c>
      <c r="T480" s="29">
        <f>A16</f>
        <v>45474</v>
      </c>
      <c r="U480" s="20">
        <f>D16</f>
        <v>106</v>
      </c>
      <c r="V480" s="30">
        <f t="shared" ref="V480:W480" si="485">B16</f>
        <v>206</v>
      </c>
      <c r="W480" s="20">
        <f t="shared" si="485"/>
        <v>100</v>
      </c>
    </row>
    <row r="481" ht="18.75" customHeight="1">
      <c r="A481" s="21">
        <f t="shared" si="4"/>
        <v>44781</v>
      </c>
      <c r="B481" s="22">
        <f t="shared" si="5"/>
        <v>181</v>
      </c>
      <c r="C481" s="22">
        <f t="shared" si="6"/>
        <v>50</v>
      </c>
      <c r="D481" s="23">
        <f t="shared" si="7"/>
        <v>131</v>
      </c>
      <c r="E481" s="24">
        <f>'相関係数'!A481</f>
        <v>44781</v>
      </c>
      <c r="F481" s="25">
        <f>'相関係数'!B481</f>
        <v>181</v>
      </c>
      <c r="G481" s="25">
        <f>'相関係数'!C481</f>
        <v>50</v>
      </c>
      <c r="T481" s="29">
        <f>A15</f>
        <v>45475</v>
      </c>
      <c r="U481" s="20">
        <f>D15</f>
        <v>116</v>
      </c>
      <c r="V481" s="30">
        <f t="shared" ref="V481:W481" si="486">B15</f>
        <v>206</v>
      </c>
      <c r="W481" s="20">
        <f t="shared" si="486"/>
        <v>90</v>
      </c>
    </row>
    <row r="482" ht="18.75" customHeight="1">
      <c r="A482" s="21">
        <f t="shared" si="4"/>
        <v>44778</v>
      </c>
      <c r="B482" s="22">
        <f t="shared" si="5"/>
        <v>196</v>
      </c>
      <c r="C482" s="22">
        <f t="shared" si="6"/>
        <v>52</v>
      </c>
      <c r="D482" s="23">
        <f t="shared" si="7"/>
        <v>144</v>
      </c>
      <c r="E482" s="24">
        <f>'相関係数'!A482</f>
        <v>44778</v>
      </c>
      <c r="F482" s="25">
        <f>'相関係数'!B482</f>
        <v>196</v>
      </c>
      <c r="G482" s="25">
        <f>'相関係数'!C482</f>
        <v>52</v>
      </c>
      <c r="T482" s="29">
        <f>A14</f>
        <v>45476</v>
      </c>
      <c r="U482" s="20">
        <f>D14</f>
        <v>128</v>
      </c>
      <c r="V482" s="30">
        <f t="shared" ref="V482:W482" si="487">B14</f>
        <v>213</v>
      </c>
      <c r="W482" s="20">
        <f t="shared" si="487"/>
        <v>85</v>
      </c>
    </row>
    <row r="483" ht="18.75" customHeight="1">
      <c r="A483" s="21">
        <f t="shared" si="4"/>
        <v>44777</v>
      </c>
      <c r="B483" s="22">
        <f t="shared" si="5"/>
        <v>198</v>
      </c>
      <c r="C483" s="22">
        <f t="shared" si="6"/>
        <v>53</v>
      </c>
      <c r="D483" s="23">
        <f t="shared" si="7"/>
        <v>145</v>
      </c>
      <c r="E483" s="24">
        <f>'相関係数'!A483</f>
        <v>44777</v>
      </c>
      <c r="F483" s="25">
        <f>'相関係数'!B483</f>
        <v>198</v>
      </c>
      <c r="G483" s="25">
        <f>'相関係数'!C483</f>
        <v>53</v>
      </c>
      <c r="T483" s="29">
        <f>A13</f>
        <v>45477</v>
      </c>
      <c r="U483" s="20">
        <f>D13</f>
        <v>129</v>
      </c>
      <c r="V483" s="30">
        <f t="shared" ref="V483:W483" si="488">B13</f>
        <v>209</v>
      </c>
      <c r="W483" s="20">
        <f t="shared" si="488"/>
        <v>80</v>
      </c>
    </row>
    <row r="484" ht="18.75" customHeight="1">
      <c r="A484" s="21">
        <f t="shared" si="4"/>
        <v>44776</v>
      </c>
      <c r="B484" s="22">
        <f t="shared" si="5"/>
        <v>196</v>
      </c>
      <c r="C484" s="22">
        <f t="shared" si="6"/>
        <v>53</v>
      </c>
      <c r="D484" s="23">
        <f t="shared" si="7"/>
        <v>143</v>
      </c>
      <c r="E484" s="24">
        <f>'相関係数'!A484</f>
        <v>44776</v>
      </c>
      <c r="F484" s="25">
        <f>'相関係数'!B484</f>
        <v>196</v>
      </c>
      <c r="G484" s="25">
        <f>'相関係数'!C484</f>
        <v>53</v>
      </c>
      <c r="T484" s="29">
        <f>A12</f>
        <v>45478</v>
      </c>
      <c r="U484" s="20">
        <f>D12</f>
        <v>132</v>
      </c>
      <c r="V484" s="30">
        <f t="shared" ref="V484:W484" si="489">B12</f>
        <v>212</v>
      </c>
      <c r="W484" s="20">
        <f t="shared" si="489"/>
        <v>80</v>
      </c>
    </row>
    <row r="485" ht="18.75" customHeight="1">
      <c r="A485" s="21">
        <f t="shared" si="4"/>
        <v>44775</v>
      </c>
      <c r="B485" s="22">
        <f t="shared" si="5"/>
        <v>196</v>
      </c>
      <c r="C485" s="22">
        <f t="shared" si="6"/>
        <v>53</v>
      </c>
      <c r="D485" s="23">
        <f t="shared" si="7"/>
        <v>143</v>
      </c>
      <c r="E485" s="24">
        <f>'相関係数'!A485</f>
        <v>44775</v>
      </c>
      <c r="F485" s="25">
        <f>'相関係数'!B485</f>
        <v>196</v>
      </c>
      <c r="G485" s="25">
        <f>'相関係数'!C485</f>
        <v>53</v>
      </c>
      <c r="T485" s="29">
        <f>A11</f>
        <v>45481</v>
      </c>
      <c r="U485" s="20">
        <f>D11</f>
        <v>131</v>
      </c>
      <c r="V485" s="30">
        <f t="shared" ref="V485:W485" si="490">B11</f>
        <v>211</v>
      </c>
      <c r="W485" s="20">
        <f t="shared" si="490"/>
        <v>80</v>
      </c>
    </row>
    <row r="486" ht="18.75" customHeight="1">
      <c r="A486" s="21">
        <f t="shared" si="4"/>
        <v>44774</v>
      </c>
      <c r="B486" s="22">
        <f t="shared" si="5"/>
        <v>196</v>
      </c>
      <c r="C486" s="22">
        <f t="shared" si="6"/>
        <v>53</v>
      </c>
      <c r="D486" s="23">
        <f t="shared" si="7"/>
        <v>143</v>
      </c>
      <c r="E486" s="24">
        <f>'相関係数'!A486</f>
        <v>44774</v>
      </c>
      <c r="F486" s="25">
        <f>'相関係数'!B486</f>
        <v>196</v>
      </c>
      <c r="G486" s="25">
        <f>'相関係数'!C486</f>
        <v>53</v>
      </c>
      <c r="T486" s="29">
        <f>A10</f>
        <v>45482</v>
      </c>
      <c r="U486" s="20">
        <f>D10</f>
        <v>122</v>
      </c>
      <c r="V486" s="30">
        <f t="shared" ref="V486:W486" si="491">B10</f>
        <v>209</v>
      </c>
      <c r="W486" s="20">
        <f t="shared" si="491"/>
        <v>87</v>
      </c>
    </row>
    <row r="487" ht="18.75" customHeight="1">
      <c r="A487" s="21">
        <f t="shared" si="4"/>
        <v>44771</v>
      </c>
      <c r="B487" s="22">
        <f t="shared" si="5"/>
        <v>193</v>
      </c>
      <c r="C487" s="22">
        <f t="shared" si="6"/>
        <v>53</v>
      </c>
      <c r="D487" s="23">
        <f t="shared" si="7"/>
        <v>140</v>
      </c>
      <c r="E487" s="24">
        <f>'相関係数'!A487</f>
        <v>44771</v>
      </c>
      <c r="F487" s="25">
        <f>'相関係数'!B487</f>
        <v>193</v>
      </c>
      <c r="G487" s="25">
        <f>'相関係数'!C487</f>
        <v>53</v>
      </c>
      <c r="T487" s="29">
        <f>A9</f>
        <v>45483</v>
      </c>
      <c r="U487" s="20">
        <f>D9</f>
        <v>115</v>
      </c>
      <c r="V487" s="30">
        <f t="shared" ref="V487:W487" si="492">B9</f>
        <v>203</v>
      </c>
      <c r="W487" s="20">
        <f t="shared" si="492"/>
        <v>88</v>
      </c>
    </row>
    <row r="488" ht="18.75" customHeight="1">
      <c r="A488" s="21">
        <f t="shared" si="4"/>
        <v>44770</v>
      </c>
      <c r="B488" s="22">
        <f t="shared" si="5"/>
        <v>191</v>
      </c>
      <c r="C488" s="22">
        <f t="shared" si="6"/>
        <v>54</v>
      </c>
      <c r="D488" s="23">
        <f t="shared" si="7"/>
        <v>137</v>
      </c>
      <c r="E488" s="24">
        <f>'相関係数'!A488</f>
        <v>44770</v>
      </c>
      <c r="F488" s="25">
        <f>'相関係数'!B488</f>
        <v>191</v>
      </c>
      <c r="G488" s="25">
        <f>'相関係数'!C488</f>
        <v>54</v>
      </c>
      <c r="T488" s="29">
        <f>A8</f>
        <v>45484</v>
      </c>
      <c r="U488" s="20">
        <f>D8</f>
        <v>108</v>
      </c>
      <c r="V488" s="30">
        <f t="shared" ref="V488:W488" si="493">B8</f>
        <v>203</v>
      </c>
      <c r="W488" s="20">
        <f t="shared" si="493"/>
        <v>95</v>
      </c>
    </row>
    <row r="489" ht="18.75" customHeight="1">
      <c r="A489" s="21">
        <f t="shared" si="4"/>
        <v>44769</v>
      </c>
      <c r="B489" s="22">
        <f t="shared" si="5"/>
        <v>192</v>
      </c>
      <c r="C489" s="22">
        <f t="shared" si="6"/>
        <v>54</v>
      </c>
      <c r="D489" s="23">
        <f t="shared" si="7"/>
        <v>138</v>
      </c>
      <c r="E489" s="24">
        <f>'相関係数'!A489</f>
        <v>44769</v>
      </c>
      <c r="F489" s="25">
        <f>'相関係数'!B489</f>
        <v>192</v>
      </c>
      <c r="G489" s="25">
        <f>'相関係数'!C489</f>
        <v>54</v>
      </c>
      <c r="T489" s="29">
        <f>A7</f>
        <v>45485</v>
      </c>
      <c r="U489" s="20">
        <f>D7</f>
        <v>112</v>
      </c>
      <c r="V489" s="30">
        <f t="shared" ref="V489:W489" si="494">B7</f>
        <v>205</v>
      </c>
      <c r="W489" s="20">
        <f t="shared" si="494"/>
        <v>93</v>
      </c>
    </row>
    <row r="490" ht="18.75" customHeight="1">
      <c r="A490" s="21">
        <f t="shared" si="4"/>
        <v>44768</v>
      </c>
      <c r="B490" s="22">
        <f t="shared" si="5"/>
        <v>195</v>
      </c>
      <c r="C490" s="22">
        <f t="shared" si="6"/>
        <v>54</v>
      </c>
      <c r="D490" s="23">
        <f t="shared" si="7"/>
        <v>141</v>
      </c>
      <c r="E490" s="24">
        <f>'相関係数'!A490</f>
        <v>44768</v>
      </c>
      <c r="F490" s="25">
        <f>'相関係数'!B490</f>
        <v>195</v>
      </c>
      <c r="G490" s="25">
        <f>'相関係数'!C490</f>
        <v>54</v>
      </c>
      <c r="T490" s="29">
        <f>A6</f>
        <v>45489</v>
      </c>
      <c r="U490" s="20">
        <f>D6</f>
        <v>101</v>
      </c>
      <c r="V490" s="30">
        <f t="shared" ref="V490:W490" si="495">B6</f>
        <v>203</v>
      </c>
      <c r="W490" s="20">
        <f t="shared" si="495"/>
        <v>102</v>
      </c>
    </row>
    <row r="491" ht="18.75" customHeight="1">
      <c r="A491" s="21">
        <f t="shared" si="4"/>
        <v>44767</v>
      </c>
      <c r="B491" s="22">
        <f t="shared" si="5"/>
        <v>191</v>
      </c>
      <c r="C491" s="22">
        <f t="shared" si="6"/>
        <v>53</v>
      </c>
      <c r="D491" s="23">
        <f t="shared" si="7"/>
        <v>138</v>
      </c>
      <c r="E491" s="24">
        <f>'相関係数'!A491</f>
        <v>44767</v>
      </c>
      <c r="F491" s="25">
        <f>'相関係数'!B491</f>
        <v>191</v>
      </c>
      <c r="G491" s="25">
        <f>'相関係数'!C491</f>
        <v>53</v>
      </c>
      <c r="T491" s="29">
        <f>A5</f>
        <v>45490</v>
      </c>
      <c r="U491" s="20">
        <f>D5</f>
        <v>75</v>
      </c>
      <c r="V491" s="30">
        <f t="shared" ref="V491:W491" si="496">B5</f>
        <v>204</v>
      </c>
      <c r="W491" s="20">
        <f t="shared" si="496"/>
        <v>129</v>
      </c>
    </row>
    <row r="492" ht="18.75" customHeight="1">
      <c r="A492" s="21">
        <f t="shared" si="4"/>
        <v>44764</v>
      </c>
      <c r="B492" s="22">
        <f t="shared" si="5"/>
        <v>197</v>
      </c>
      <c r="C492" s="22">
        <f t="shared" si="6"/>
        <v>54</v>
      </c>
      <c r="D492" s="23">
        <f t="shared" si="7"/>
        <v>143</v>
      </c>
      <c r="E492" s="24">
        <f>'相関係数'!A492</f>
        <v>44764</v>
      </c>
      <c r="F492" s="25">
        <f>'相関係数'!B492</f>
        <v>197</v>
      </c>
      <c r="G492" s="25">
        <f>'相関係数'!C492</f>
        <v>54</v>
      </c>
      <c r="T492" s="29">
        <f>A4</f>
        <v>45491</v>
      </c>
      <c r="U492" s="20">
        <f>D4</f>
        <v>75</v>
      </c>
      <c r="V492" s="30">
        <f t="shared" ref="V492:W492" si="497">B4</f>
        <v>200</v>
      </c>
      <c r="W492" s="20">
        <f t="shared" si="497"/>
        <v>125</v>
      </c>
    </row>
    <row r="493" ht="18.75" customHeight="1">
      <c r="A493" s="21">
        <f t="shared" si="4"/>
        <v>44763</v>
      </c>
      <c r="B493" s="22">
        <f t="shared" si="5"/>
        <v>200</v>
      </c>
      <c r="C493" s="22">
        <f t="shared" si="6"/>
        <v>54</v>
      </c>
      <c r="D493" s="23">
        <f t="shared" si="7"/>
        <v>146</v>
      </c>
      <c r="E493" s="24">
        <f>'相関係数'!A493</f>
        <v>44763</v>
      </c>
      <c r="F493" s="25">
        <f>'相関係数'!B493</f>
        <v>200</v>
      </c>
      <c r="G493" s="25">
        <f>'相関係数'!C493</f>
        <v>54</v>
      </c>
      <c r="T493" s="29">
        <f>A3</f>
        <v>45492</v>
      </c>
      <c r="U493" s="20">
        <f>D3</f>
        <v>51</v>
      </c>
      <c r="V493" s="30">
        <f t="shared" ref="V493:W493" si="498">B3</f>
        <v>196</v>
      </c>
      <c r="W493" s="20">
        <f t="shared" si="498"/>
        <v>145</v>
      </c>
    </row>
    <row r="494" ht="18.75" customHeight="1">
      <c r="A494" s="21">
        <f t="shared" si="4"/>
        <v>44762</v>
      </c>
      <c r="B494" s="22">
        <f t="shared" si="5"/>
        <v>183</v>
      </c>
      <c r="C494" s="22">
        <f t="shared" si="6"/>
        <v>53</v>
      </c>
      <c r="D494" s="23">
        <f t="shared" si="7"/>
        <v>130</v>
      </c>
      <c r="E494" s="24">
        <f>'相関係数'!A494</f>
        <v>44762</v>
      </c>
      <c r="F494" s="25">
        <f>'相関係数'!B494</f>
        <v>183</v>
      </c>
      <c r="G494" s="25">
        <f>'相関係数'!C494</f>
        <v>53</v>
      </c>
      <c r="T494" s="29">
        <f>A2</f>
        <v>45495</v>
      </c>
      <c r="U494" s="20">
        <f>D2</f>
        <v>100</v>
      </c>
      <c r="V494" s="30">
        <f t="shared" ref="V494:W494" si="499">B2</f>
        <v>200</v>
      </c>
      <c r="W494" s="20">
        <f t="shared" si="499"/>
        <v>100</v>
      </c>
    </row>
    <row r="495" ht="12.0" customHeight="1">
      <c r="A495" s="34"/>
      <c r="B495" s="34"/>
      <c r="C495" s="34"/>
      <c r="D495" s="34"/>
      <c r="E495" s="5"/>
      <c r="F495" s="35"/>
      <c r="G495" s="35"/>
      <c r="T495" s="19"/>
      <c r="U495" s="19"/>
      <c r="V495" s="19"/>
      <c r="W495" s="19"/>
    </row>
    <row r="496" ht="12.0" customHeight="1">
      <c r="A496" s="34"/>
      <c r="B496" s="34"/>
      <c r="C496" s="34"/>
      <c r="D496" s="34"/>
      <c r="E496" s="5"/>
      <c r="F496" s="35"/>
      <c r="G496" s="35"/>
      <c r="T496" s="19"/>
      <c r="U496" s="19"/>
      <c r="V496" s="19"/>
      <c r="W496" s="19"/>
    </row>
    <row r="497" ht="12.0" customHeight="1">
      <c r="A497" s="34"/>
      <c r="B497" s="34"/>
      <c r="C497" s="34"/>
      <c r="D497" s="34"/>
      <c r="E497" s="5"/>
      <c r="F497" s="35"/>
      <c r="G497" s="35"/>
      <c r="T497" s="19"/>
      <c r="U497" s="19"/>
      <c r="V497" s="19"/>
      <c r="W497" s="19"/>
    </row>
    <row r="498" ht="12.0" customHeight="1">
      <c r="A498" s="34"/>
      <c r="B498" s="34"/>
      <c r="C498" s="34"/>
      <c r="D498" s="34"/>
      <c r="E498" s="1"/>
      <c r="F498" s="35"/>
      <c r="G498" s="35"/>
      <c r="T498" s="19"/>
      <c r="U498" s="19"/>
      <c r="V498" s="19"/>
      <c r="W498" s="19"/>
    </row>
    <row r="499" ht="12.0" customHeight="1">
      <c r="A499" s="34"/>
      <c r="B499" s="34"/>
      <c r="C499" s="34"/>
      <c r="D499" s="34"/>
      <c r="E499" s="1"/>
      <c r="F499" s="35"/>
      <c r="G499" s="35"/>
      <c r="T499" s="19"/>
      <c r="U499" s="19"/>
      <c r="V499" s="19"/>
      <c r="W499" s="19"/>
    </row>
    <row r="500" ht="12.0" customHeight="1">
      <c r="A500" s="34"/>
      <c r="B500" s="34"/>
      <c r="C500" s="34"/>
      <c r="D500" s="34"/>
      <c r="E500" s="1"/>
      <c r="F500" s="35"/>
      <c r="G500" s="35"/>
      <c r="T500" s="19"/>
      <c r="U500" s="19"/>
      <c r="V500" s="19"/>
      <c r="W500" s="19"/>
    </row>
    <row r="501" ht="12.0" customHeight="1">
      <c r="A501" s="34"/>
      <c r="B501" s="34"/>
      <c r="C501" s="34"/>
      <c r="D501" s="34"/>
      <c r="E501" s="1"/>
      <c r="F501" s="35"/>
      <c r="G501" s="35"/>
      <c r="T501" s="19"/>
      <c r="U501" s="19"/>
      <c r="V501" s="19"/>
      <c r="W501" s="19"/>
    </row>
    <row r="502" ht="12.0" customHeight="1">
      <c r="A502" s="34"/>
      <c r="B502" s="34"/>
      <c r="C502" s="34"/>
      <c r="D502" s="34"/>
      <c r="E502" s="1"/>
      <c r="F502" s="35"/>
      <c r="G502" s="35"/>
      <c r="T502" s="19"/>
      <c r="U502" s="19"/>
      <c r="V502" s="19"/>
      <c r="W502" s="19"/>
    </row>
    <row r="503" ht="12.0" customHeight="1">
      <c r="A503" s="34"/>
      <c r="B503" s="34"/>
      <c r="C503" s="34"/>
      <c r="D503" s="34"/>
      <c r="E503" s="1"/>
      <c r="F503" s="35"/>
      <c r="G503" s="35"/>
      <c r="T503" s="19"/>
      <c r="U503" s="19"/>
      <c r="V503" s="19"/>
      <c r="W503" s="19"/>
    </row>
    <row r="504" ht="12.0" customHeight="1">
      <c r="A504" s="34"/>
      <c r="B504" s="34"/>
      <c r="C504" s="34"/>
      <c r="D504" s="34"/>
      <c r="E504" s="1"/>
      <c r="F504" s="35"/>
      <c r="G504" s="35"/>
      <c r="T504" s="19"/>
      <c r="U504" s="19"/>
      <c r="V504" s="19"/>
      <c r="W504" s="19"/>
    </row>
    <row r="505" ht="12.0" customHeight="1">
      <c r="A505" s="34"/>
      <c r="B505" s="34"/>
      <c r="C505" s="34"/>
      <c r="D505" s="34"/>
      <c r="E505" s="1"/>
      <c r="F505" s="35"/>
      <c r="G505" s="35"/>
      <c r="T505" s="19"/>
      <c r="U505" s="19"/>
      <c r="V505" s="19"/>
      <c r="W505" s="19"/>
    </row>
    <row r="506" ht="12.0" customHeight="1">
      <c r="A506" s="34"/>
      <c r="B506" s="34"/>
      <c r="C506" s="34"/>
      <c r="D506" s="34"/>
      <c r="E506" s="1"/>
      <c r="F506" s="35"/>
      <c r="G506" s="35"/>
      <c r="T506" s="19"/>
      <c r="U506" s="19"/>
      <c r="V506" s="19"/>
      <c r="W506" s="19"/>
    </row>
    <row r="507" ht="12.0" customHeight="1">
      <c r="A507" s="34"/>
      <c r="B507" s="34"/>
      <c r="C507" s="34"/>
      <c r="D507" s="34"/>
      <c r="E507" s="1"/>
      <c r="F507" s="35"/>
      <c r="G507" s="35"/>
      <c r="T507" s="19"/>
      <c r="U507" s="19"/>
      <c r="V507" s="19"/>
      <c r="W507" s="19"/>
    </row>
    <row r="508" ht="12.0" customHeight="1">
      <c r="A508" s="34"/>
      <c r="B508" s="34"/>
      <c r="C508" s="34"/>
      <c r="D508" s="34"/>
      <c r="E508" s="1"/>
      <c r="F508" s="35"/>
      <c r="G508" s="35"/>
      <c r="T508" s="19"/>
      <c r="U508" s="19"/>
      <c r="V508" s="19"/>
      <c r="W508" s="19"/>
    </row>
    <row r="509" ht="12.0" customHeight="1">
      <c r="A509" s="34"/>
      <c r="B509" s="34"/>
      <c r="C509" s="34"/>
      <c r="D509" s="34"/>
      <c r="E509" s="1"/>
      <c r="F509" s="35"/>
      <c r="G509" s="35"/>
      <c r="T509" s="19"/>
      <c r="U509" s="19"/>
      <c r="V509" s="19"/>
      <c r="W509" s="19"/>
    </row>
    <row r="510" ht="12.0" customHeight="1">
      <c r="A510" s="34"/>
      <c r="B510" s="34"/>
      <c r="C510" s="34"/>
      <c r="D510" s="34"/>
      <c r="E510" s="1"/>
      <c r="F510" s="35"/>
      <c r="G510" s="35"/>
      <c r="T510" s="19"/>
      <c r="U510" s="19"/>
      <c r="V510" s="19"/>
      <c r="W510" s="19"/>
    </row>
    <row r="511" ht="12.0" customHeight="1">
      <c r="A511" s="34"/>
      <c r="B511" s="34"/>
      <c r="C511" s="34"/>
      <c r="D511" s="34"/>
      <c r="E511" s="1"/>
      <c r="F511" s="35"/>
      <c r="G511" s="35"/>
      <c r="T511" s="19"/>
      <c r="U511" s="19"/>
      <c r="V511" s="19"/>
      <c r="W511" s="19"/>
    </row>
    <row r="512" ht="12.0" customHeight="1">
      <c r="A512" s="34"/>
      <c r="B512" s="34"/>
      <c r="C512" s="34"/>
      <c r="D512" s="34"/>
      <c r="E512" s="1"/>
      <c r="F512" s="35"/>
      <c r="G512" s="35"/>
      <c r="T512" s="19"/>
      <c r="U512" s="19"/>
      <c r="V512" s="19"/>
      <c r="W512" s="19"/>
    </row>
    <row r="513" ht="12.0" customHeight="1">
      <c r="A513" s="34"/>
      <c r="B513" s="34"/>
      <c r="C513" s="34"/>
      <c r="D513" s="34"/>
      <c r="E513" s="1"/>
      <c r="F513" s="35"/>
      <c r="G513" s="35"/>
      <c r="T513" s="19"/>
      <c r="U513" s="19"/>
      <c r="V513" s="19"/>
      <c r="W513" s="19"/>
    </row>
    <row r="514" ht="12.0" customHeight="1">
      <c r="A514" s="34"/>
      <c r="B514" s="34"/>
      <c r="C514" s="34"/>
      <c r="D514" s="34"/>
      <c r="E514" s="1"/>
      <c r="F514" s="35"/>
      <c r="G514" s="35"/>
      <c r="T514" s="19"/>
      <c r="U514" s="19"/>
      <c r="V514" s="19"/>
      <c r="W514" s="19"/>
    </row>
    <row r="515" ht="12.0" customHeight="1">
      <c r="A515" s="34"/>
      <c r="B515" s="34"/>
      <c r="C515" s="34"/>
      <c r="D515" s="34"/>
      <c r="E515" s="1"/>
      <c r="F515" s="35"/>
      <c r="G515" s="35"/>
      <c r="T515" s="19"/>
      <c r="U515" s="19"/>
      <c r="V515" s="19"/>
      <c r="W515" s="19"/>
    </row>
    <row r="516" ht="12.0" customHeight="1">
      <c r="A516" s="34"/>
      <c r="B516" s="34"/>
      <c r="C516" s="34"/>
      <c r="D516" s="34"/>
      <c r="E516" s="1"/>
      <c r="F516" s="35"/>
      <c r="G516" s="35"/>
      <c r="T516" s="19"/>
      <c r="U516" s="19"/>
      <c r="V516" s="19"/>
      <c r="W516" s="19"/>
    </row>
    <row r="517" ht="12.0" customHeight="1">
      <c r="A517" s="34"/>
      <c r="B517" s="34"/>
      <c r="C517" s="34"/>
      <c r="D517" s="34"/>
      <c r="E517" s="1"/>
      <c r="F517" s="35"/>
      <c r="G517" s="35"/>
      <c r="T517" s="19"/>
      <c r="U517" s="19"/>
      <c r="V517" s="19"/>
      <c r="W517" s="19"/>
    </row>
    <row r="518" ht="12.0" customHeight="1">
      <c r="A518" s="34"/>
      <c r="B518" s="34"/>
      <c r="C518" s="34"/>
      <c r="D518" s="34"/>
      <c r="E518" s="1"/>
      <c r="F518" s="35"/>
      <c r="G518" s="35"/>
      <c r="T518" s="19"/>
      <c r="U518" s="19"/>
      <c r="V518" s="19"/>
      <c r="W518" s="19"/>
    </row>
    <row r="519" ht="12.0" customHeight="1">
      <c r="A519" s="34"/>
      <c r="B519" s="34"/>
      <c r="C519" s="34"/>
      <c r="D519" s="34"/>
      <c r="E519" s="1"/>
      <c r="F519" s="35"/>
      <c r="G519" s="35"/>
      <c r="T519" s="19"/>
      <c r="U519" s="19"/>
      <c r="V519" s="19"/>
      <c r="W519" s="19"/>
    </row>
    <row r="520" ht="12.0" customHeight="1">
      <c r="A520" s="34"/>
      <c r="B520" s="34"/>
      <c r="C520" s="34"/>
      <c r="D520" s="34"/>
      <c r="E520" s="1"/>
      <c r="F520" s="35"/>
      <c r="G520" s="35"/>
      <c r="T520" s="19"/>
      <c r="U520" s="19"/>
      <c r="V520" s="19"/>
      <c r="W520" s="19"/>
    </row>
    <row r="521" ht="12.0" customHeight="1">
      <c r="A521" s="34"/>
      <c r="B521" s="34"/>
      <c r="C521" s="34"/>
      <c r="D521" s="34"/>
      <c r="E521" s="1"/>
      <c r="F521" s="35"/>
      <c r="G521" s="35"/>
      <c r="T521" s="19"/>
      <c r="U521" s="19"/>
      <c r="V521" s="19"/>
      <c r="W521" s="19"/>
    </row>
    <row r="522" ht="12.0" customHeight="1">
      <c r="A522" s="34"/>
      <c r="B522" s="34"/>
      <c r="C522" s="34"/>
      <c r="D522" s="34"/>
      <c r="E522" s="1"/>
      <c r="F522" s="35"/>
      <c r="G522" s="35"/>
      <c r="T522" s="19"/>
      <c r="U522" s="19"/>
      <c r="V522" s="19"/>
      <c r="W522" s="19"/>
    </row>
    <row r="523" ht="12.0" customHeight="1">
      <c r="A523" s="34"/>
      <c r="B523" s="34"/>
      <c r="C523" s="34"/>
      <c r="D523" s="34"/>
      <c r="E523" s="1"/>
      <c r="F523" s="35"/>
      <c r="G523" s="35"/>
      <c r="T523" s="19"/>
      <c r="U523" s="19"/>
      <c r="V523" s="19"/>
      <c r="W523" s="19"/>
    </row>
    <row r="524" ht="12.0" customHeight="1">
      <c r="A524" s="34"/>
      <c r="B524" s="34"/>
      <c r="C524" s="34"/>
      <c r="D524" s="34"/>
      <c r="E524" s="1"/>
      <c r="F524" s="35"/>
      <c r="G524" s="35"/>
      <c r="T524" s="19"/>
      <c r="U524" s="19"/>
      <c r="V524" s="19"/>
      <c r="W524" s="19"/>
    </row>
    <row r="525" ht="12.0" customHeight="1">
      <c r="A525" s="34"/>
      <c r="B525" s="34"/>
      <c r="C525" s="34"/>
      <c r="D525" s="34"/>
      <c r="E525" s="1"/>
      <c r="F525" s="35"/>
      <c r="G525" s="35"/>
      <c r="T525" s="19"/>
      <c r="U525" s="19"/>
      <c r="V525" s="19"/>
      <c r="W525" s="19"/>
    </row>
    <row r="526" ht="12.0" customHeight="1">
      <c r="A526" s="34"/>
      <c r="B526" s="34"/>
      <c r="C526" s="34"/>
      <c r="D526" s="34"/>
      <c r="E526" s="1"/>
      <c r="F526" s="35"/>
      <c r="G526" s="35"/>
      <c r="T526" s="19"/>
      <c r="U526" s="19"/>
      <c r="V526" s="19"/>
      <c r="W526" s="19"/>
    </row>
    <row r="527" ht="12.0" customHeight="1">
      <c r="A527" s="34"/>
      <c r="B527" s="34"/>
      <c r="C527" s="34"/>
      <c r="D527" s="34"/>
      <c r="E527" s="1"/>
      <c r="F527" s="35"/>
      <c r="G527" s="35"/>
      <c r="T527" s="19"/>
      <c r="U527" s="19"/>
      <c r="V527" s="19"/>
      <c r="W527" s="19"/>
    </row>
    <row r="528" ht="12.0" customHeight="1">
      <c r="A528" s="34"/>
      <c r="B528" s="34"/>
      <c r="C528" s="34"/>
      <c r="D528" s="34"/>
      <c r="E528" s="1"/>
      <c r="F528" s="35"/>
      <c r="G528" s="35"/>
      <c r="T528" s="19"/>
      <c r="U528" s="19"/>
      <c r="V528" s="19"/>
      <c r="W528" s="19"/>
    </row>
    <row r="529" ht="12.0" customHeight="1">
      <c r="A529" s="34"/>
      <c r="B529" s="34"/>
      <c r="C529" s="34"/>
      <c r="D529" s="34"/>
      <c r="E529" s="1"/>
      <c r="F529" s="35"/>
      <c r="G529" s="35"/>
      <c r="T529" s="19"/>
      <c r="U529" s="19"/>
      <c r="V529" s="19"/>
      <c r="W529" s="19"/>
    </row>
    <row r="530" ht="12.0" customHeight="1">
      <c r="A530" s="34"/>
      <c r="B530" s="34"/>
      <c r="C530" s="34"/>
      <c r="D530" s="34"/>
      <c r="E530" s="1"/>
      <c r="F530" s="35"/>
      <c r="G530" s="35"/>
      <c r="T530" s="19"/>
      <c r="U530" s="19"/>
      <c r="V530" s="19"/>
      <c r="W530" s="19"/>
    </row>
    <row r="531" ht="12.0" customHeight="1">
      <c r="A531" s="34"/>
      <c r="B531" s="34"/>
      <c r="C531" s="34"/>
      <c r="D531" s="34"/>
      <c r="E531" s="1"/>
      <c r="F531" s="35"/>
      <c r="G531" s="35"/>
      <c r="T531" s="19"/>
      <c r="U531" s="19"/>
      <c r="V531" s="19"/>
      <c r="W531" s="19"/>
    </row>
    <row r="532" ht="12.0" customHeight="1">
      <c r="A532" s="34"/>
      <c r="B532" s="34"/>
      <c r="C532" s="34"/>
      <c r="D532" s="34"/>
      <c r="E532" s="1"/>
      <c r="F532" s="35"/>
      <c r="G532" s="35"/>
      <c r="T532" s="19"/>
      <c r="U532" s="19"/>
      <c r="V532" s="19"/>
      <c r="W532" s="19"/>
    </row>
    <row r="533" ht="12.0" customHeight="1">
      <c r="A533" s="34"/>
      <c r="B533" s="34"/>
      <c r="C533" s="34"/>
      <c r="D533" s="34"/>
      <c r="E533" s="1"/>
      <c r="F533" s="35"/>
      <c r="G533" s="35"/>
      <c r="T533" s="19"/>
      <c r="U533" s="19"/>
      <c r="V533" s="19"/>
      <c r="W533" s="19"/>
    </row>
    <row r="534" ht="12.0" customHeight="1">
      <c r="A534" s="34"/>
      <c r="B534" s="34"/>
      <c r="C534" s="34"/>
      <c r="D534" s="34"/>
      <c r="E534" s="1"/>
      <c r="F534" s="35"/>
      <c r="G534" s="35"/>
      <c r="T534" s="19"/>
      <c r="U534" s="19"/>
      <c r="V534" s="19"/>
      <c r="W534" s="19"/>
    </row>
    <row r="535" ht="12.0" customHeight="1">
      <c r="A535" s="34"/>
      <c r="B535" s="34"/>
      <c r="C535" s="34"/>
      <c r="D535" s="34"/>
      <c r="E535" s="1"/>
      <c r="F535" s="35"/>
      <c r="G535" s="35"/>
      <c r="T535" s="19"/>
      <c r="U535" s="19"/>
      <c r="V535" s="19"/>
      <c r="W535" s="19"/>
    </row>
    <row r="536" ht="12.0" customHeight="1">
      <c r="A536" s="34"/>
      <c r="B536" s="34"/>
      <c r="C536" s="34"/>
      <c r="D536" s="34"/>
      <c r="E536" s="1"/>
      <c r="F536" s="35"/>
      <c r="G536" s="35"/>
      <c r="T536" s="19"/>
      <c r="U536" s="19"/>
      <c r="V536" s="19"/>
      <c r="W536" s="19"/>
    </row>
    <row r="537" ht="12.0" customHeight="1">
      <c r="A537" s="34"/>
      <c r="B537" s="34"/>
      <c r="C537" s="34"/>
      <c r="D537" s="34"/>
      <c r="E537" s="1"/>
      <c r="F537" s="35"/>
      <c r="G537" s="35"/>
      <c r="T537" s="19"/>
      <c r="U537" s="19"/>
      <c r="V537" s="19"/>
      <c r="W537" s="19"/>
    </row>
    <row r="538" ht="12.0" customHeight="1">
      <c r="A538" s="34"/>
      <c r="B538" s="34"/>
      <c r="C538" s="34"/>
      <c r="D538" s="34"/>
      <c r="E538" s="1"/>
      <c r="F538" s="35"/>
      <c r="G538" s="35"/>
      <c r="T538" s="19"/>
      <c r="U538" s="19"/>
      <c r="V538" s="19"/>
      <c r="W538" s="19"/>
    </row>
    <row r="539" ht="12.0" customHeight="1">
      <c r="A539" s="34"/>
      <c r="B539" s="34"/>
      <c r="C539" s="34"/>
      <c r="D539" s="34"/>
      <c r="E539" s="1"/>
      <c r="F539" s="35"/>
      <c r="G539" s="35"/>
      <c r="T539" s="19"/>
      <c r="U539" s="19"/>
      <c r="V539" s="19"/>
      <c r="W539" s="19"/>
    </row>
    <row r="540" ht="12.0" customHeight="1">
      <c r="A540" s="34"/>
      <c r="B540" s="34"/>
      <c r="C540" s="34"/>
      <c r="D540" s="34"/>
      <c r="E540" s="1"/>
      <c r="F540" s="35"/>
      <c r="G540" s="35"/>
      <c r="T540" s="19"/>
      <c r="U540" s="19"/>
      <c r="V540" s="19"/>
      <c r="W540" s="19"/>
    </row>
    <row r="541" ht="12.0" customHeight="1">
      <c r="A541" s="34"/>
      <c r="B541" s="34"/>
      <c r="C541" s="34"/>
      <c r="D541" s="34"/>
      <c r="E541" s="1"/>
      <c r="F541" s="35"/>
      <c r="G541" s="35"/>
      <c r="T541" s="19"/>
      <c r="U541" s="19"/>
      <c r="V541" s="19"/>
      <c r="W541" s="19"/>
    </row>
    <row r="542" ht="12.0" customHeight="1">
      <c r="A542" s="34"/>
      <c r="B542" s="34"/>
      <c r="C542" s="34"/>
      <c r="D542" s="34"/>
      <c r="E542" s="1"/>
      <c r="F542" s="35"/>
      <c r="G542" s="35"/>
      <c r="T542" s="19"/>
      <c r="U542" s="19"/>
      <c r="V542" s="19"/>
      <c r="W542" s="19"/>
    </row>
    <row r="543" ht="12.0" customHeight="1">
      <c r="A543" s="34"/>
      <c r="B543" s="34"/>
      <c r="C543" s="34"/>
      <c r="D543" s="34"/>
      <c r="E543" s="1"/>
      <c r="F543" s="35"/>
      <c r="G543" s="35"/>
      <c r="T543" s="19"/>
      <c r="U543" s="19"/>
      <c r="V543" s="19"/>
      <c r="W543" s="19"/>
    </row>
    <row r="544" ht="12.0" customHeight="1">
      <c r="A544" s="34"/>
      <c r="B544" s="34"/>
      <c r="C544" s="34"/>
      <c r="D544" s="34"/>
      <c r="E544" s="1"/>
      <c r="F544" s="35"/>
      <c r="G544" s="35"/>
      <c r="T544" s="19"/>
      <c r="U544" s="19"/>
      <c r="V544" s="19"/>
      <c r="W544" s="19"/>
    </row>
    <row r="545" ht="12.0" customHeight="1">
      <c r="A545" s="34"/>
      <c r="B545" s="34"/>
      <c r="C545" s="34"/>
      <c r="D545" s="34"/>
      <c r="E545" s="1"/>
      <c r="F545" s="35"/>
      <c r="G545" s="35"/>
      <c r="T545" s="19"/>
      <c r="U545" s="19"/>
      <c r="V545" s="19"/>
      <c r="W545" s="19"/>
    </row>
    <row r="546" ht="12.0" customHeight="1">
      <c r="A546" s="34"/>
      <c r="B546" s="34"/>
      <c r="C546" s="34"/>
      <c r="D546" s="34"/>
      <c r="E546" s="1"/>
      <c r="F546" s="35"/>
      <c r="G546" s="35"/>
      <c r="T546" s="19"/>
      <c r="U546" s="19"/>
      <c r="V546" s="19"/>
      <c r="W546" s="19"/>
    </row>
    <row r="547" ht="12.0" customHeight="1">
      <c r="A547" s="34"/>
      <c r="B547" s="34"/>
      <c r="C547" s="34"/>
      <c r="D547" s="34"/>
      <c r="E547" s="1"/>
      <c r="F547" s="35"/>
      <c r="G547" s="35"/>
      <c r="T547" s="19"/>
      <c r="U547" s="19"/>
      <c r="V547" s="19"/>
      <c r="W547" s="19"/>
    </row>
    <row r="548" ht="12.0" customHeight="1">
      <c r="A548" s="34"/>
      <c r="B548" s="34"/>
      <c r="C548" s="34"/>
      <c r="D548" s="34"/>
      <c r="E548" s="1"/>
      <c r="F548" s="35"/>
      <c r="G548" s="35"/>
      <c r="T548" s="19"/>
      <c r="U548" s="19"/>
      <c r="V548" s="19"/>
      <c r="W548" s="19"/>
    </row>
    <row r="549" ht="12.0" customHeight="1">
      <c r="A549" s="34"/>
      <c r="B549" s="34"/>
      <c r="C549" s="34"/>
      <c r="D549" s="34"/>
      <c r="E549" s="1"/>
      <c r="F549" s="35"/>
      <c r="G549" s="35"/>
      <c r="T549" s="19"/>
      <c r="U549" s="19"/>
      <c r="V549" s="19"/>
      <c r="W549" s="19"/>
    </row>
    <row r="550" ht="12.0" customHeight="1">
      <c r="A550" s="34"/>
      <c r="B550" s="34"/>
      <c r="C550" s="34"/>
      <c r="D550" s="34"/>
      <c r="E550" s="1"/>
      <c r="F550" s="35"/>
      <c r="G550" s="35"/>
      <c r="T550" s="19"/>
      <c r="U550" s="19"/>
      <c r="V550" s="19"/>
      <c r="W550" s="19"/>
    </row>
    <row r="551" ht="12.0" customHeight="1">
      <c r="A551" s="34"/>
      <c r="B551" s="34"/>
      <c r="C551" s="34"/>
      <c r="D551" s="34"/>
      <c r="E551" s="1"/>
      <c r="F551" s="35"/>
      <c r="G551" s="35"/>
      <c r="T551" s="19"/>
      <c r="U551" s="19"/>
      <c r="V551" s="19"/>
      <c r="W551" s="19"/>
    </row>
    <row r="552" ht="12.0" customHeight="1">
      <c r="A552" s="34"/>
      <c r="B552" s="34"/>
      <c r="C552" s="34"/>
      <c r="D552" s="34"/>
      <c r="E552" s="1"/>
      <c r="F552" s="35"/>
      <c r="G552" s="35"/>
      <c r="T552" s="19"/>
      <c r="U552" s="19"/>
      <c r="V552" s="19"/>
      <c r="W552" s="19"/>
    </row>
    <row r="553" ht="12.0" customHeight="1">
      <c r="A553" s="34"/>
      <c r="B553" s="34"/>
      <c r="C553" s="34"/>
      <c r="D553" s="34"/>
      <c r="E553" s="1"/>
      <c r="F553" s="35"/>
      <c r="G553" s="35"/>
      <c r="T553" s="19"/>
      <c r="U553" s="19"/>
      <c r="V553" s="19"/>
      <c r="W553" s="19"/>
    </row>
    <row r="554" ht="12.0" customHeight="1">
      <c r="A554" s="34"/>
      <c r="B554" s="34"/>
      <c r="C554" s="34"/>
      <c r="D554" s="34"/>
      <c r="E554" s="1"/>
      <c r="F554" s="35"/>
      <c r="G554" s="35"/>
      <c r="T554" s="19"/>
      <c r="U554" s="19"/>
      <c r="V554" s="19"/>
      <c r="W554" s="19"/>
    </row>
    <row r="555" ht="12.0" customHeight="1">
      <c r="A555" s="34"/>
      <c r="B555" s="34"/>
      <c r="C555" s="34"/>
      <c r="D555" s="34"/>
      <c r="E555" s="1"/>
      <c r="F555" s="35"/>
      <c r="G555" s="35"/>
      <c r="T555" s="19"/>
      <c r="U555" s="19"/>
      <c r="V555" s="19"/>
      <c r="W555" s="19"/>
    </row>
    <row r="556" ht="12.0" customHeight="1">
      <c r="A556" s="34"/>
      <c r="B556" s="34"/>
      <c r="C556" s="34"/>
      <c r="D556" s="34"/>
      <c r="E556" s="1"/>
      <c r="F556" s="35"/>
      <c r="G556" s="35"/>
      <c r="T556" s="19"/>
      <c r="U556" s="19"/>
      <c r="V556" s="19"/>
      <c r="W556" s="19"/>
    </row>
    <row r="557" ht="12.0" customHeight="1">
      <c r="A557" s="34"/>
      <c r="B557" s="34"/>
      <c r="C557" s="34"/>
      <c r="D557" s="34"/>
      <c r="E557" s="1"/>
      <c r="F557" s="35"/>
      <c r="G557" s="35"/>
      <c r="T557" s="19"/>
      <c r="U557" s="19"/>
      <c r="V557" s="19"/>
      <c r="W557" s="19"/>
    </row>
    <row r="558" ht="12.0" customHeight="1">
      <c r="A558" s="34"/>
      <c r="B558" s="34"/>
      <c r="C558" s="34"/>
      <c r="D558" s="34"/>
      <c r="E558" s="1"/>
      <c r="F558" s="35"/>
      <c r="G558" s="35"/>
      <c r="T558" s="19"/>
      <c r="U558" s="19"/>
      <c r="V558" s="19"/>
      <c r="W558" s="19"/>
    </row>
    <row r="559" ht="12.0" customHeight="1">
      <c r="A559" s="34"/>
      <c r="B559" s="34"/>
      <c r="C559" s="34"/>
      <c r="D559" s="34"/>
      <c r="E559" s="1"/>
      <c r="F559" s="35"/>
      <c r="G559" s="35"/>
      <c r="T559" s="19"/>
      <c r="U559" s="19"/>
      <c r="V559" s="19"/>
      <c r="W559" s="19"/>
    </row>
    <row r="560" ht="12.0" customHeight="1">
      <c r="A560" s="34"/>
      <c r="B560" s="34"/>
      <c r="C560" s="34"/>
      <c r="D560" s="34"/>
      <c r="E560" s="1"/>
      <c r="F560" s="35"/>
      <c r="G560" s="35"/>
      <c r="T560" s="19"/>
      <c r="U560" s="19"/>
      <c r="V560" s="19"/>
      <c r="W560" s="19"/>
    </row>
    <row r="561" ht="12.0" customHeight="1">
      <c r="A561" s="34"/>
      <c r="B561" s="34"/>
      <c r="C561" s="34"/>
      <c r="D561" s="34"/>
      <c r="E561" s="1"/>
      <c r="F561" s="35"/>
      <c r="G561" s="35"/>
      <c r="T561" s="19"/>
      <c r="U561" s="19"/>
      <c r="V561" s="19"/>
      <c r="W561" s="19"/>
    </row>
    <row r="562" ht="12.0" customHeight="1">
      <c r="A562" s="34"/>
      <c r="B562" s="34"/>
      <c r="C562" s="34"/>
      <c r="D562" s="34"/>
      <c r="E562" s="1"/>
      <c r="F562" s="35"/>
      <c r="G562" s="35"/>
      <c r="T562" s="19"/>
      <c r="U562" s="19"/>
      <c r="V562" s="19"/>
      <c r="W562" s="19"/>
    </row>
    <row r="563" ht="12.0" customHeight="1">
      <c r="A563" s="34"/>
      <c r="B563" s="34"/>
      <c r="C563" s="34"/>
      <c r="D563" s="34"/>
      <c r="E563" s="1"/>
      <c r="F563" s="35"/>
      <c r="G563" s="35"/>
      <c r="T563" s="19"/>
      <c r="U563" s="19"/>
      <c r="V563" s="19"/>
      <c r="W563" s="19"/>
    </row>
    <row r="564" ht="12.0" customHeight="1">
      <c r="A564" s="34"/>
      <c r="B564" s="34"/>
      <c r="C564" s="34"/>
      <c r="D564" s="34"/>
      <c r="E564" s="1"/>
      <c r="F564" s="35"/>
      <c r="G564" s="35"/>
      <c r="T564" s="19"/>
      <c r="U564" s="19"/>
      <c r="V564" s="19"/>
      <c r="W564" s="19"/>
    </row>
    <row r="565" ht="12.0" customHeight="1">
      <c r="A565" s="34"/>
      <c r="B565" s="34"/>
      <c r="C565" s="34"/>
      <c r="D565" s="34"/>
      <c r="E565" s="1"/>
      <c r="F565" s="35"/>
      <c r="G565" s="35"/>
      <c r="T565" s="19"/>
      <c r="U565" s="19"/>
      <c r="V565" s="19"/>
      <c r="W565" s="19"/>
    </row>
    <row r="566" ht="12.0" customHeight="1">
      <c r="A566" s="34"/>
      <c r="B566" s="34"/>
      <c r="C566" s="34"/>
      <c r="D566" s="34"/>
      <c r="E566" s="1"/>
      <c r="F566" s="35"/>
      <c r="G566" s="35"/>
      <c r="T566" s="19"/>
      <c r="U566" s="19"/>
      <c r="V566" s="19"/>
      <c r="W566" s="19"/>
    </row>
    <row r="567" ht="12.0" customHeight="1">
      <c r="A567" s="34"/>
      <c r="B567" s="34"/>
      <c r="C567" s="34"/>
      <c r="D567" s="34"/>
      <c r="E567" s="1"/>
      <c r="F567" s="35"/>
      <c r="G567" s="35"/>
      <c r="T567" s="19"/>
      <c r="U567" s="19"/>
      <c r="V567" s="19"/>
      <c r="W567" s="19"/>
    </row>
    <row r="568" ht="12.0" customHeight="1">
      <c r="A568" s="34"/>
      <c r="B568" s="34"/>
      <c r="C568" s="34"/>
      <c r="D568" s="34"/>
      <c r="E568" s="1"/>
      <c r="F568" s="35"/>
      <c r="G568" s="35"/>
      <c r="T568" s="19"/>
      <c r="U568" s="19"/>
      <c r="V568" s="19"/>
      <c r="W568" s="19"/>
    </row>
    <row r="569" ht="12.0" customHeight="1">
      <c r="A569" s="34"/>
      <c r="B569" s="34"/>
      <c r="C569" s="34"/>
      <c r="D569" s="34"/>
      <c r="E569" s="1"/>
      <c r="F569" s="35"/>
      <c r="G569" s="35"/>
      <c r="T569" s="19"/>
      <c r="U569" s="19"/>
      <c r="V569" s="19"/>
      <c r="W569" s="19"/>
    </row>
    <row r="570" ht="12.0" customHeight="1">
      <c r="A570" s="34"/>
      <c r="B570" s="34"/>
      <c r="C570" s="34"/>
      <c r="D570" s="34"/>
      <c r="E570" s="1"/>
      <c r="F570" s="35"/>
      <c r="G570" s="35"/>
      <c r="T570" s="19"/>
      <c r="U570" s="19"/>
      <c r="V570" s="19"/>
      <c r="W570" s="19"/>
    </row>
    <row r="571" ht="12.0" customHeight="1">
      <c r="A571" s="34"/>
      <c r="B571" s="34"/>
      <c r="C571" s="34"/>
      <c r="D571" s="34"/>
      <c r="E571" s="1"/>
      <c r="F571" s="35"/>
      <c r="G571" s="35"/>
      <c r="T571" s="19"/>
      <c r="U571" s="19"/>
      <c r="V571" s="19"/>
      <c r="W571" s="19"/>
    </row>
    <row r="572" ht="12.0" customHeight="1">
      <c r="A572" s="34"/>
      <c r="B572" s="34"/>
      <c r="C572" s="34"/>
      <c r="D572" s="34"/>
      <c r="E572" s="1"/>
      <c r="F572" s="35"/>
      <c r="G572" s="35"/>
      <c r="T572" s="19"/>
      <c r="U572" s="19"/>
      <c r="V572" s="19"/>
      <c r="W572" s="19"/>
    </row>
    <row r="573" ht="12.0" customHeight="1">
      <c r="A573" s="34"/>
      <c r="B573" s="34"/>
      <c r="C573" s="34"/>
      <c r="D573" s="34"/>
      <c r="E573" s="1"/>
      <c r="F573" s="35"/>
      <c r="G573" s="35"/>
      <c r="T573" s="19"/>
      <c r="U573" s="19"/>
      <c r="V573" s="19"/>
      <c r="W573" s="19"/>
    </row>
    <row r="574" ht="12.0" customHeight="1">
      <c r="A574" s="34"/>
      <c r="B574" s="34"/>
      <c r="C574" s="34"/>
      <c r="D574" s="34"/>
      <c r="E574" s="1"/>
      <c r="F574" s="35"/>
      <c r="G574" s="35"/>
      <c r="T574" s="19"/>
      <c r="U574" s="19"/>
      <c r="V574" s="19"/>
      <c r="W574" s="19"/>
    </row>
    <row r="575" ht="12.0" customHeight="1">
      <c r="A575" s="34"/>
      <c r="B575" s="34"/>
      <c r="C575" s="34"/>
      <c r="D575" s="34"/>
      <c r="E575" s="1"/>
      <c r="F575" s="35"/>
      <c r="G575" s="35"/>
      <c r="T575" s="19"/>
      <c r="U575" s="19"/>
      <c r="V575" s="19"/>
      <c r="W575" s="19"/>
    </row>
    <row r="576" ht="12.0" customHeight="1">
      <c r="A576" s="34"/>
      <c r="B576" s="34"/>
      <c r="C576" s="34"/>
      <c r="D576" s="34"/>
      <c r="E576" s="1"/>
      <c r="F576" s="35"/>
      <c r="G576" s="35"/>
      <c r="T576" s="19"/>
      <c r="U576" s="19"/>
      <c r="V576" s="19"/>
      <c r="W576" s="19"/>
    </row>
    <row r="577" ht="12.0" customHeight="1">
      <c r="A577" s="34"/>
      <c r="B577" s="34"/>
      <c r="C577" s="34"/>
      <c r="D577" s="34"/>
      <c r="E577" s="1"/>
      <c r="F577" s="35"/>
      <c r="G577" s="35"/>
      <c r="T577" s="19"/>
      <c r="U577" s="19"/>
      <c r="V577" s="19"/>
      <c r="W577" s="19"/>
    </row>
    <row r="578" ht="12.0" customHeight="1">
      <c r="A578" s="34"/>
      <c r="B578" s="34"/>
      <c r="C578" s="34"/>
      <c r="D578" s="34"/>
      <c r="E578" s="1"/>
      <c r="F578" s="35"/>
      <c r="G578" s="35"/>
      <c r="T578" s="19"/>
      <c r="U578" s="19"/>
      <c r="V578" s="19"/>
      <c r="W578" s="19"/>
    </row>
    <row r="579" ht="12.0" customHeight="1">
      <c r="A579" s="34"/>
      <c r="B579" s="34"/>
      <c r="C579" s="34"/>
      <c r="D579" s="34"/>
      <c r="E579" s="1"/>
      <c r="F579" s="35"/>
      <c r="G579" s="35"/>
      <c r="T579" s="19"/>
      <c r="U579" s="19"/>
      <c r="V579" s="19"/>
      <c r="W579" s="19"/>
    </row>
    <row r="580" ht="12.0" customHeight="1">
      <c r="A580" s="34"/>
      <c r="B580" s="34"/>
      <c r="C580" s="34"/>
      <c r="D580" s="34"/>
      <c r="E580" s="1"/>
      <c r="F580" s="35"/>
      <c r="G580" s="35"/>
      <c r="T580" s="19"/>
      <c r="U580" s="19"/>
      <c r="V580" s="19"/>
      <c r="W580" s="19"/>
    </row>
    <row r="581" ht="12.0" customHeight="1">
      <c r="A581" s="34"/>
      <c r="B581" s="34"/>
      <c r="C581" s="34"/>
      <c r="D581" s="34"/>
      <c r="E581" s="1"/>
      <c r="F581" s="35"/>
      <c r="G581" s="35"/>
      <c r="T581" s="19"/>
      <c r="U581" s="19"/>
      <c r="V581" s="19"/>
      <c r="W581" s="19"/>
    </row>
    <row r="582" ht="12.0" customHeight="1">
      <c r="A582" s="34"/>
      <c r="B582" s="34"/>
      <c r="C582" s="34"/>
      <c r="D582" s="34"/>
      <c r="E582" s="1"/>
      <c r="F582" s="35"/>
      <c r="G582" s="35"/>
      <c r="T582" s="19"/>
      <c r="U582" s="19"/>
      <c r="V582" s="19"/>
      <c r="W582" s="19"/>
    </row>
    <row r="583" ht="12.0" customHeight="1">
      <c r="A583" s="34"/>
      <c r="B583" s="34"/>
      <c r="C583" s="34"/>
      <c r="D583" s="34"/>
      <c r="E583" s="1"/>
      <c r="F583" s="35"/>
      <c r="G583" s="35"/>
      <c r="T583" s="19"/>
      <c r="U583" s="19"/>
      <c r="V583" s="19"/>
      <c r="W583" s="19"/>
    </row>
    <row r="584" ht="12.0" customHeight="1">
      <c r="A584" s="34"/>
      <c r="B584" s="34"/>
      <c r="C584" s="34"/>
      <c r="D584" s="34"/>
      <c r="E584" s="1"/>
      <c r="F584" s="35"/>
      <c r="G584" s="35"/>
      <c r="T584" s="19"/>
      <c r="U584" s="19"/>
      <c r="V584" s="19"/>
      <c r="W584" s="19"/>
    </row>
    <row r="585" ht="12.0" customHeight="1">
      <c r="A585" s="34"/>
      <c r="B585" s="34"/>
      <c r="C585" s="34"/>
      <c r="D585" s="34"/>
      <c r="E585" s="1"/>
      <c r="F585" s="35"/>
      <c r="G585" s="35"/>
      <c r="T585" s="19"/>
      <c r="U585" s="19"/>
      <c r="V585" s="19"/>
      <c r="W585" s="19"/>
    </row>
    <row r="586" ht="12.0" customHeight="1">
      <c r="A586" s="34"/>
      <c r="B586" s="34"/>
      <c r="C586" s="34"/>
      <c r="D586" s="34"/>
      <c r="E586" s="1"/>
      <c r="F586" s="35"/>
      <c r="G586" s="35"/>
      <c r="T586" s="19"/>
      <c r="U586" s="19"/>
      <c r="V586" s="19"/>
      <c r="W586" s="19"/>
    </row>
    <row r="587" ht="12.0" customHeight="1">
      <c r="A587" s="34"/>
      <c r="B587" s="34"/>
      <c r="C587" s="34"/>
      <c r="D587" s="34"/>
      <c r="E587" s="1"/>
      <c r="F587" s="35"/>
      <c r="G587" s="35"/>
      <c r="T587" s="19"/>
      <c r="U587" s="19"/>
      <c r="V587" s="19"/>
      <c r="W587" s="19"/>
    </row>
    <row r="588" ht="12.0" customHeight="1">
      <c r="A588" s="34"/>
      <c r="B588" s="34"/>
      <c r="C588" s="34"/>
      <c r="D588" s="34"/>
      <c r="E588" s="1"/>
      <c r="F588" s="35"/>
      <c r="G588" s="35"/>
      <c r="T588" s="19"/>
      <c r="U588" s="19"/>
      <c r="V588" s="19"/>
      <c r="W588" s="19"/>
    </row>
    <row r="589" ht="12.0" customHeight="1">
      <c r="A589" s="34"/>
      <c r="B589" s="34"/>
      <c r="C589" s="34"/>
      <c r="D589" s="34"/>
      <c r="E589" s="1"/>
      <c r="F589" s="35"/>
      <c r="G589" s="35"/>
      <c r="T589" s="19"/>
      <c r="U589" s="19"/>
      <c r="V589" s="19"/>
      <c r="W589" s="19"/>
    </row>
    <row r="590" ht="12.0" customHeight="1">
      <c r="A590" s="34"/>
      <c r="B590" s="34"/>
      <c r="C590" s="34"/>
      <c r="D590" s="34"/>
      <c r="E590" s="1"/>
      <c r="F590" s="35"/>
      <c r="G590" s="35"/>
      <c r="T590" s="19"/>
      <c r="U590" s="19"/>
      <c r="V590" s="19"/>
      <c r="W590" s="19"/>
    </row>
    <row r="591" ht="12.0" customHeight="1">
      <c r="A591" s="34"/>
      <c r="B591" s="34"/>
      <c r="C591" s="34"/>
      <c r="D591" s="34"/>
      <c r="E591" s="1"/>
      <c r="F591" s="35"/>
      <c r="G591" s="35"/>
      <c r="T591" s="19"/>
      <c r="U591" s="19"/>
      <c r="V591" s="19"/>
      <c r="W591" s="19"/>
    </row>
    <row r="592" ht="12.0" customHeight="1">
      <c r="A592" s="34"/>
      <c r="B592" s="34"/>
      <c r="C592" s="34"/>
      <c r="D592" s="34"/>
      <c r="E592" s="1"/>
      <c r="F592" s="35"/>
      <c r="G592" s="35"/>
      <c r="T592" s="19"/>
      <c r="U592" s="19"/>
      <c r="V592" s="19"/>
      <c r="W592" s="19"/>
    </row>
    <row r="593" ht="12.0" customHeight="1">
      <c r="A593" s="34"/>
      <c r="B593" s="34"/>
      <c r="C593" s="34"/>
      <c r="D593" s="34"/>
      <c r="E593" s="1"/>
      <c r="F593" s="35"/>
      <c r="G593" s="35"/>
      <c r="T593" s="19"/>
      <c r="U593" s="19"/>
      <c r="V593" s="19"/>
      <c r="W593" s="19"/>
    </row>
    <row r="594" ht="12.0" customHeight="1">
      <c r="A594" s="34"/>
      <c r="B594" s="34"/>
      <c r="C594" s="34"/>
      <c r="D594" s="34"/>
      <c r="E594" s="1"/>
      <c r="F594" s="35"/>
      <c r="G594" s="35"/>
      <c r="T594" s="19"/>
      <c r="U594" s="19"/>
      <c r="V594" s="19"/>
      <c r="W594" s="19"/>
    </row>
    <row r="595" ht="12.0" customHeight="1">
      <c r="A595" s="34"/>
      <c r="B595" s="34"/>
      <c r="C595" s="34"/>
      <c r="D595" s="34"/>
      <c r="E595" s="1"/>
      <c r="F595" s="35"/>
      <c r="G595" s="35"/>
      <c r="T595" s="19"/>
      <c r="U595" s="19"/>
      <c r="V595" s="19"/>
      <c r="W595" s="19"/>
    </row>
    <row r="596" ht="12.0" customHeight="1">
      <c r="A596" s="34"/>
      <c r="B596" s="34"/>
      <c r="C596" s="34"/>
      <c r="D596" s="34"/>
      <c r="E596" s="1"/>
      <c r="F596" s="35"/>
      <c r="G596" s="35"/>
      <c r="T596" s="19"/>
      <c r="U596" s="19"/>
      <c r="V596" s="19"/>
      <c r="W596" s="19"/>
    </row>
    <row r="597" ht="12.0" customHeight="1">
      <c r="A597" s="34"/>
      <c r="B597" s="34"/>
      <c r="C597" s="34"/>
      <c r="D597" s="34"/>
      <c r="E597" s="1"/>
      <c r="F597" s="35"/>
      <c r="G597" s="35"/>
      <c r="T597" s="19"/>
      <c r="U597" s="19"/>
      <c r="V597" s="19"/>
      <c r="W597" s="19"/>
    </row>
    <row r="598" ht="12.0" customHeight="1">
      <c r="A598" s="34"/>
      <c r="B598" s="34"/>
      <c r="C598" s="34"/>
      <c r="D598" s="34"/>
      <c r="E598" s="1"/>
      <c r="F598" s="35"/>
      <c r="G598" s="35"/>
      <c r="T598" s="19"/>
      <c r="U598" s="19"/>
      <c r="V598" s="19"/>
      <c r="W598" s="19"/>
    </row>
    <row r="599" ht="12.0" customHeight="1">
      <c r="A599" s="34"/>
      <c r="B599" s="34"/>
      <c r="C599" s="34"/>
      <c r="D599" s="34"/>
      <c r="E599" s="1"/>
      <c r="F599" s="35"/>
      <c r="G599" s="35"/>
      <c r="T599" s="19"/>
      <c r="U599" s="19"/>
      <c r="V599" s="19"/>
      <c r="W599" s="19"/>
    </row>
    <row r="600" ht="12.0" customHeight="1">
      <c r="A600" s="34"/>
      <c r="B600" s="34"/>
      <c r="C600" s="34"/>
      <c r="D600" s="34"/>
      <c r="E600" s="1"/>
      <c r="F600" s="35"/>
      <c r="G600" s="35"/>
      <c r="T600" s="19"/>
      <c r="U600" s="19"/>
      <c r="V600" s="19"/>
      <c r="W600" s="19"/>
    </row>
    <row r="601" ht="12.0" customHeight="1">
      <c r="A601" s="34"/>
      <c r="B601" s="34"/>
      <c r="C601" s="34"/>
      <c r="D601" s="34"/>
      <c r="E601" s="1"/>
      <c r="F601" s="35"/>
      <c r="G601" s="35"/>
      <c r="T601" s="19"/>
      <c r="U601" s="19"/>
      <c r="V601" s="19"/>
      <c r="W601" s="19"/>
    </row>
    <row r="602" ht="12.0" customHeight="1">
      <c r="A602" s="34"/>
      <c r="B602" s="34"/>
      <c r="C602" s="34"/>
      <c r="D602" s="34"/>
      <c r="E602" s="1"/>
      <c r="F602" s="35"/>
      <c r="G602" s="35"/>
      <c r="T602" s="19"/>
      <c r="U602" s="19"/>
      <c r="V602" s="19"/>
      <c r="W602" s="19"/>
    </row>
    <row r="603" ht="12.0" customHeight="1">
      <c r="A603" s="34"/>
      <c r="B603" s="34"/>
      <c r="C603" s="34"/>
      <c r="D603" s="34"/>
      <c r="E603" s="1"/>
      <c r="F603" s="35"/>
      <c r="G603" s="35"/>
      <c r="T603" s="19"/>
      <c r="U603" s="19"/>
      <c r="V603" s="19"/>
      <c r="W603" s="19"/>
    </row>
    <row r="604" ht="12.0" customHeight="1">
      <c r="A604" s="34"/>
      <c r="B604" s="34"/>
      <c r="C604" s="34"/>
      <c r="D604" s="34"/>
      <c r="E604" s="1"/>
      <c r="F604" s="35"/>
      <c r="G604" s="35"/>
      <c r="T604" s="19"/>
      <c r="U604" s="19"/>
      <c r="V604" s="19"/>
      <c r="W604" s="19"/>
    </row>
    <row r="605" ht="12.0" customHeight="1">
      <c r="A605" s="34"/>
      <c r="B605" s="34"/>
      <c r="C605" s="34"/>
      <c r="D605" s="34"/>
      <c r="E605" s="1"/>
      <c r="F605" s="35"/>
      <c r="G605" s="35"/>
      <c r="T605" s="19"/>
      <c r="U605" s="19"/>
      <c r="V605" s="19"/>
      <c r="W605" s="19"/>
    </row>
    <row r="606" ht="12.0" customHeight="1">
      <c r="A606" s="34"/>
      <c r="B606" s="34"/>
      <c r="C606" s="34"/>
      <c r="D606" s="34"/>
      <c r="E606" s="1"/>
      <c r="F606" s="35"/>
      <c r="G606" s="35"/>
      <c r="T606" s="19"/>
      <c r="U606" s="19"/>
      <c r="V606" s="19"/>
      <c r="W606" s="19"/>
    </row>
    <row r="607" ht="12.0" customHeight="1">
      <c r="A607" s="34"/>
      <c r="B607" s="34"/>
      <c r="C607" s="34"/>
      <c r="D607" s="34"/>
      <c r="E607" s="1"/>
      <c r="F607" s="35"/>
      <c r="G607" s="35"/>
      <c r="T607" s="19"/>
      <c r="U607" s="19"/>
      <c r="V607" s="19"/>
      <c r="W607" s="19"/>
    </row>
    <row r="608" ht="12.0" customHeight="1">
      <c r="A608" s="34"/>
      <c r="B608" s="34"/>
      <c r="C608" s="34"/>
      <c r="D608" s="34"/>
      <c r="E608" s="1"/>
      <c r="F608" s="35"/>
      <c r="G608" s="35"/>
      <c r="T608" s="19"/>
      <c r="U608" s="19"/>
      <c r="V608" s="19"/>
      <c r="W608" s="19"/>
    </row>
    <row r="609" ht="12.0" customHeight="1">
      <c r="A609" s="34"/>
      <c r="B609" s="34"/>
      <c r="C609" s="34"/>
      <c r="D609" s="34"/>
      <c r="E609" s="1"/>
      <c r="F609" s="35"/>
      <c r="G609" s="35"/>
      <c r="T609" s="19"/>
      <c r="U609" s="19"/>
      <c r="V609" s="19"/>
      <c r="W609" s="19"/>
    </row>
    <row r="610" ht="12.0" customHeight="1">
      <c r="A610" s="34"/>
      <c r="B610" s="34"/>
      <c r="C610" s="34"/>
      <c r="D610" s="34"/>
      <c r="E610" s="1"/>
      <c r="F610" s="35"/>
      <c r="G610" s="35"/>
      <c r="T610" s="19"/>
      <c r="U610" s="19"/>
      <c r="V610" s="19"/>
      <c r="W610" s="19"/>
    </row>
    <row r="611" ht="12.0" customHeight="1">
      <c r="A611" s="34"/>
      <c r="B611" s="34"/>
      <c r="C611" s="34"/>
      <c r="D611" s="34"/>
      <c r="E611" s="1"/>
      <c r="F611" s="35"/>
      <c r="G611" s="35"/>
      <c r="T611" s="19"/>
      <c r="U611" s="19"/>
      <c r="V611" s="19"/>
      <c r="W611" s="19"/>
    </row>
    <row r="612" ht="12.0" customHeight="1">
      <c r="A612" s="34"/>
      <c r="B612" s="34"/>
      <c r="C612" s="34"/>
      <c r="D612" s="34"/>
      <c r="E612" s="1"/>
      <c r="F612" s="35"/>
      <c r="G612" s="35"/>
      <c r="T612" s="19"/>
      <c r="U612" s="19"/>
      <c r="V612" s="19"/>
      <c r="W612" s="19"/>
    </row>
    <row r="613" ht="12.0" customHeight="1">
      <c r="A613" s="34"/>
      <c r="B613" s="34"/>
      <c r="C613" s="34"/>
      <c r="D613" s="34"/>
      <c r="E613" s="1"/>
      <c r="F613" s="35"/>
      <c r="G613" s="35"/>
      <c r="T613" s="19"/>
      <c r="U613" s="19"/>
      <c r="V613" s="19"/>
      <c r="W613" s="19"/>
    </row>
    <row r="614" ht="12.0" customHeight="1">
      <c r="A614" s="34"/>
      <c r="B614" s="34"/>
      <c r="C614" s="34"/>
      <c r="D614" s="34"/>
      <c r="E614" s="1"/>
      <c r="F614" s="35"/>
      <c r="G614" s="35"/>
      <c r="T614" s="19"/>
      <c r="U614" s="19"/>
      <c r="V614" s="19"/>
      <c r="W614" s="19"/>
    </row>
    <row r="615" ht="12.0" customHeight="1">
      <c r="A615" s="34"/>
      <c r="B615" s="34"/>
      <c r="C615" s="34"/>
      <c r="D615" s="34"/>
      <c r="E615" s="1"/>
      <c r="F615" s="35"/>
      <c r="G615" s="35"/>
      <c r="T615" s="19"/>
      <c r="U615" s="19"/>
      <c r="V615" s="19"/>
      <c r="W615" s="19"/>
    </row>
    <row r="616" ht="12.0" customHeight="1">
      <c r="A616" s="34"/>
      <c r="B616" s="34"/>
      <c r="C616" s="34"/>
      <c r="D616" s="34"/>
      <c r="E616" s="1"/>
      <c r="F616" s="35"/>
      <c r="G616" s="35"/>
      <c r="T616" s="19"/>
      <c r="U616" s="19"/>
      <c r="V616" s="19"/>
      <c r="W616" s="19"/>
    </row>
    <row r="617" ht="12.0" customHeight="1">
      <c r="A617" s="34"/>
      <c r="B617" s="34"/>
      <c r="C617" s="34"/>
      <c r="D617" s="34"/>
      <c r="E617" s="1"/>
      <c r="F617" s="35"/>
      <c r="G617" s="35"/>
      <c r="T617" s="19"/>
      <c r="U617" s="19"/>
      <c r="V617" s="19"/>
      <c r="W617" s="19"/>
    </row>
    <row r="618" ht="12.0" customHeight="1">
      <c r="A618" s="34"/>
      <c r="B618" s="34"/>
      <c r="C618" s="34"/>
      <c r="D618" s="34"/>
      <c r="E618" s="1"/>
      <c r="F618" s="35"/>
      <c r="G618" s="35"/>
      <c r="T618" s="19"/>
      <c r="U618" s="19"/>
      <c r="V618" s="19"/>
      <c r="W618" s="19"/>
    </row>
    <row r="619" ht="12.0" customHeight="1">
      <c r="A619" s="34"/>
      <c r="B619" s="34"/>
      <c r="C619" s="34"/>
      <c r="D619" s="34"/>
      <c r="E619" s="1"/>
      <c r="F619" s="35"/>
      <c r="G619" s="35"/>
      <c r="T619" s="19"/>
      <c r="U619" s="19"/>
      <c r="V619" s="19"/>
      <c r="W619" s="19"/>
    </row>
    <row r="620" ht="12.0" customHeight="1">
      <c r="A620" s="34"/>
      <c r="B620" s="34"/>
      <c r="C620" s="34"/>
      <c r="D620" s="34"/>
      <c r="E620" s="1"/>
      <c r="F620" s="35"/>
      <c r="G620" s="35"/>
      <c r="T620" s="19"/>
      <c r="U620" s="19"/>
      <c r="V620" s="19"/>
      <c r="W620" s="19"/>
    </row>
    <row r="621" ht="12.0" customHeight="1">
      <c r="A621" s="34"/>
      <c r="B621" s="34"/>
      <c r="C621" s="34"/>
      <c r="D621" s="34"/>
      <c r="E621" s="1"/>
      <c r="F621" s="35"/>
      <c r="G621" s="35"/>
      <c r="T621" s="19"/>
      <c r="U621" s="19"/>
      <c r="V621" s="19"/>
      <c r="W621" s="19"/>
    </row>
    <row r="622" ht="12.0" customHeight="1">
      <c r="A622" s="34"/>
      <c r="B622" s="34"/>
      <c r="C622" s="34"/>
      <c r="D622" s="34"/>
      <c r="E622" s="1"/>
      <c r="F622" s="35"/>
      <c r="G622" s="35"/>
      <c r="T622" s="19"/>
      <c r="U622" s="19"/>
      <c r="V622" s="19"/>
      <c r="W622" s="19"/>
    </row>
    <row r="623" ht="12.0" customHeight="1">
      <c r="A623" s="34"/>
      <c r="B623" s="34"/>
      <c r="C623" s="34"/>
      <c r="D623" s="34"/>
      <c r="E623" s="1"/>
      <c r="F623" s="35"/>
      <c r="G623" s="35"/>
      <c r="T623" s="19"/>
      <c r="U623" s="19"/>
      <c r="V623" s="19"/>
      <c r="W623" s="19"/>
    </row>
    <row r="624" ht="12.0" customHeight="1">
      <c r="A624" s="34"/>
      <c r="B624" s="34"/>
      <c r="C624" s="34"/>
      <c r="D624" s="34"/>
      <c r="E624" s="1"/>
      <c r="F624" s="35"/>
      <c r="G624" s="35"/>
      <c r="T624" s="19"/>
      <c r="U624" s="19"/>
      <c r="V624" s="19"/>
      <c r="W624" s="19"/>
    </row>
    <row r="625" ht="12.0" customHeight="1">
      <c r="A625" s="34"/>
      <c r="B625" s="34"/>
      <c r="C625" s="34"/>
      <c r="D625" s="34"/>
      <c r="E625" s="1"/>
      <c r="F625" s="35"/>
      <c r="G625" s="35"/>
      <c r="T625" s="19"/>
      <c r="U625" s="19"/>
      <c r="V625" s="19"/>
      <c r="W625" s="19"/>
    </row>
    <row r="626" ht="12.0" customHeight="1">
      <c r="A626" s="34"/>
      <c r="B626" s="34"/>
      <c r="C626" s="34"/>
      <c r="D626" s="34"/>
      <c r="E626" s="1"/>
      <c r="F626" s="35"/>
      <c r="G626" s="35"/>
      <c r="T626" s="19"/>
      <c r="U626" s="19"/>
      <c r="V626" s="19"/>
      <c r="W626" s="19"/>
    </row>
    <row r="627" ht="12.0" customHeight="1">
      <c r="A627" s="34"/>
      <c r="B627" s="34"/>
      <c r="C627" s="34"/>
      <c r="D627" s="34"/>
      <c r="E627" s="1"/>
      <c r="F627" s="35"/>
      <c r="G627" s="35"/>
      <c r="T627" s="19"/>
      <c r="U627" s="19"/>
      <c r="V627" s="19"/>
      <c r="W627" s="19"/>
    </row>
    <row r="628" ht="12.0" customHeight="1">
      <c r="A628" s="34"/>
      <c r="B628" s="34"/>
      <c r="C628" s="34"/>
      <c r="D628" s="34"/>
      <c r="E628" s="1"/>
      <c r="F628" s="35"/>
      <c r="G628" s="35"/>
      <c r="T628" s="19"/>
      <c r="U628" s="19"/>
      <c r="V628" s="19"/>
      <c r="W628" s="19"/>
    </row>
    <row r="629" ht="12.0" customHeight="1">
      <c r="A629" s="34"/>
      <c r="B629" s="34"/>
      <c r="C629" s="34"/>
      <c r="D629" s="34"/>
      <c r="E629" s="1"/>
      <c r="F629" s="35"/>
      <c r="G629" s="35"/>
      <c r="T629" s="19"/>
      <c r="U629" s="19"/>
      <c r="V629" s="19"/>
      <c r="W629" s="19"/>
    </row>
    <row r="630" ht="12.0" customHeight="1">
      <c r="A630" s="34"/>
      <c r="B630" s="34"/>
      <c r="C630" s="34"/>
      <c r="D630" s="34"/>
      <c r="E630" s="1"/>
      <c r="F630" s="35"/>
      <c r="G630" s="35"/>
      <c r="T630" s="19"/>
      <c r="U630" s="19"/>
      <c r="V630" s="19"/>
      <c r="W630" s="19"/>
    </row>
    <row r="631" ht="12.0" customHeight="1">
      <c r="A631" s="34"/>
      <c r="B631" s="34"/>
      <c r="C631" s="34"/>
      <c r="D631" s="34"/>
      <c r="E631" s="1"/>
      <c r="F631" s="35"/>
      <c r="G631" s="35"/>
      <c r="T631" s="19"/>
      <c r="U631" s="19"/>
      <c r="V631" s="19"/>
      <c r="W631" s="19"/>
    </row>
    <row r="632" ht="12.0" customHeight="1">
      <c r="A632" s="34"/>
      <c r="B632" s="34"/>
      <c r="C632" s="34"/>
      <c r="D632" s="34"/>
      <c r="E632" s="1"/>
      <c r="F632" s="35"/>
      <c r="G632" s="35"/>
      <c r="T632" s="19"/>
      <c r="U632" s="19"/>
      <c r="V632" s="19"/>
      <c r="W632" s="19"/>
    </row>
    <row r="633" ht="12.0" customHeight="1">
      <c r="A633" s="34"/>
      <c r="B633" s="34"/>
      <c r="C633" s="34"/>
      <c r="D633" s="34"/>
      <c r="E633" s="1"/>
      <c r="F633" s="35"/>
      <c r="G633" s="35"/>
      <c r="T633" s="19"/>
      <c r="U633" s="19"/>
      <c r="V633" s="19"/>
      <c r="W633" s="19"/>
    </row>
    <row r="634" ht="12.0" customHeight="1">
      <c r="A634" s="34"/>
      <c r="B634" s="34"/>
      <c r="C634" s="34"/>
      <c r="D634" s="34"/>
      <c r="E634" s="1"/>
      <c r="F634" s="35"/>
      <c r="G634" s="35"/>
      <c r="T634" s="19"/>
      <c r="U634" s="19"/>
      <c r="V634" s="19"/>
      <c r="W634" s="19"/>
    </row>
    <row r="635" ht="12.0" customHeight="1">
      <c r="A635" s="34"/>
      <c r="B635" s="34"/>
      <c r="C635" s="34"/>
      <c r="D635" s="34"/>
      <c r="E635" s="1"/>
      <c r="F635" s="35"/>
      <c r="G635" s="35"/>
      <c r="T635" s="19"/>
      <c r="U635" s="19"/>
      <c r="V635" s="19"/>
      <c r="W635" s="19"/>
    </row>
    <row r="636" ht="12.0" customHeight="1">
      <c r="A636" s="34"/>
      <c r="B636" s="34"/>
      <c r="C636" s="34"/>
      <c r="D636" s="34"/>
      <c r="E636" s="1"/>
      <c r="F636" s="35"/>
      <c r="G636" s="35"/>
      <c r="T636" s="19"/>
      <c r="U636" s="19"/>
      <c r="V636" s="19"/>
      <c r="W636" s="19"/>
    </row>
    <row r="637" ht="12.0" customHeight="1">
      <c r="A637" s="34"/>
      <c r="B637" s="34"/>
      <c r="C637" s="34"/>
      <c r="D637" s="34"/>
      <c r="E637" s="1"/>
      <c r="F637" s="35"/>
      <c r="G637" s="35"/>
      <c r="T637" s="19"/>
      <c r="U637" s="19"/>
      <c r="V637" s="19"/>
      <c r="W637" s="19"/>
    </row>
    <row r="638" ht="12.0" customHeight="1">
      <c r="A638" s="34"/>
      <c r="B638" s="34"/>
      <c r="C638" s="34"/>
      <c r="D638" s="34"/>
      <c r="E638" s="1"/>
      <c r="F638" s="35"/>
      <c r="G638" s="35"/>
      <c r="T638" s="19"/>
      <c r="U638" s="19"/>
      <c r="V638" s="19"/>
      <c r="W638" s="19"/>
    </row>
    <row r="639" ht="12.0" customHeight="1">
      <c r="A639" s="34"/>
      <c r="B639" s="34"/>
      <c r="C639" s="34"/>
      <c r="D639" s="34"/>
      <c r="E639" s="1"/>
      <c r="F639" s="35"/>
      <c r="G639" s="35"/>
      <c r="T639" s="19"/>
      <c r="U639" s="19"/>
      <c r="V639" s="19"/>
      <c r="W639" s="19"/>
    </row>
    <row r="640" ht="12.0" customHeight="1">
      <c r="A640" s="34"/>
      <c r="B640" s="34"/>
      <c r="C640" s="34"/>
      <c r="D640" s="34"/>
      <c r="E640" s="1"/>
      <c r="F640" s="35"/>
      <c r="G640" s="35"/>
      <c r="T640" s="19"/>
      <c r="U640" s="19"/>
      <c r="V640" s="19"/>
      <c r="W640" s="19"/>
    </row>
    <row r="641" ht="12.0" customHeight="1">
      <c r="A641" s="34"/>
      <c r="B641" s="34"/>
      <c r="C641" s="34"/>
      <c r="D641" s="34"/>
      <c r="E641" s="1"/>
      <c r="F641" s="35"/>
      <c r="G641" s="35"/>
      <c r="T641" s="19"/>
      <c r="U641" s="19"/>
      <c r="V641" s="19"/>
      <c r="W641" s="19"/>
    </row>
    <row r="642" ht="12.0" customHeight="1">
      <c r="A642" s="34"/>
      <c r="B642" s="34"/>
      <c r="C642" s="34"/>
      <c r="D642" s="34"/>
      <c r="E642" s="1"/>
      <c r="F642" s="35"/>
      <c r="G642" s="35"/>
      <c r="T642" s="19"/>
      <c r="U642" s="19"/>
      <c r="V642" s="19"/>
      <c r="W642" s="19"/>
    </row>
    <row r="643" ht="12.0" customHeight="1">
      <c r="A643" s="34"/>
      <c r="B643" s="34"/>
      <c r="C643" s="34"/>
      <c r="D643" s="34"/>
      <c r="E643" s="1"/>
      <c r="F643" s="35"/>
      <c r="G643" s="35"/>
      <c r="T643" s="19"/>
      <c r="U643" s="19"/>
      <c r="V643" s="19"/>
      <c r="W643" s="19"/>
    </row>
    <row r="644" ht="12.0" customHeight="1">
      <c r="A644" s="34"/>
      <c r="B644" s="34"/>
      <c r="C644" s="34"/>
      <c r="D644" s="34"/>
      <c r="E644" s="1"/>
      <c r="F644" s="35"/>
      <c r="G644" s="35"/>
      <c r="T644" s="19"/>
      <c r="U644" s="19"/>
      <c r="V644" s="19"/>
      <c r="W644" s="19"/>
    </row>
    <row r="645" ht="12.0" customHeight="1">
      <c r="A645" s="34"/>
      <c r="B645" s="34"/>
      <c r="C645" s="34"/>
      <c r="D645" s="34"/>
      <c r="E645" s="1"/>
      <c r="F645" s="35"/>
      <c r="G645" s="35"/>
      <c r="T645" s="19"/>
      <c r="U645" s="19"/>
      <c r="V645" s="19"/>
      <c r="W645" s="19"/>
    </row>
    <row r="646" ht="12.0" customHeight="1">
      <c r="A646" s="34"/>
      <c r="B646" s="34"/>
      <c r="C646" s="34"/>
      <c r="D646" s="34"/>
      <c r="E646" s="1"/>
      <c r="F646" s="35"/>
      <c r="G646" s="35"/>
      <c r="T646" s="19"/>
      <c r="U646" s="19"/>
      <c r="V646" s="19"/>
      <c r="W646" s="19"/>
    </row>
    <row r="647" ht="12.0" customHeight="1">
      <c r="A647" s="34"/>
      <c r="B647" s="34"/>
      <c r="C647" s="34"/>
      <c r="D647" s="34"/>
      <c r="E647" s="1"/>
      <c r="F647" s="35"/>
      <c r="G647" s="35"/>
      <c r="T647" s="19"/>
      <c r="U647" s="19"/>
      <c r="V647" s="19"/>
      <c r="W647" s="19"/>
    </row>
    <row r="648" ht="12.0" customHeight="1">
      <c r="A648" s="34"/>
      <c r="B648" s="34"/>
      <c r="C648" s="34"/>
      <c r="D648" s="34"/>
      <c r="E648" s="1"/>
      <c r="F648" s="35"/>
      <c r="G648" s="35"/>
      <c r="T648" s="19"/>
      <c r="U648" s="19"/>
      <c r="V648" s="19"/>
      <c r="W648" s="19"/>
    </row>
    <row r="649" ht="12.0" customHeight="1">
      <c r="A649" s="34"/>
      <c r="B649" s="34"/>
      <c r="C649" s="34"/>
      <c r="D649" s="34"/>
      <c r="E649" s="1"/>
      <c r="F649" s="35"/>
      <c r="G649" s="35"/>
      <c r="T649" s="19"/>
      <c r="U649" s="19"/>
      <c r="V649" s="19"/>
      <c r="W649" s="19"/>
    </row>
    <row r="650" ht="12.0" customHeight="1">
      <c r="A650" s="34"/>
      <c r="B650" s="34"/>
      <c r="C650" s="34"/>
      <c r="D650" s="34"/>
      <c r="E650" s="1"/>
      <c r="F650" s="35"/>
      <c r="G650" s="35"/>
      <c r="T650" s="19"/>
      <c r="U650" s="19"/>
      <c r="V650" s="19"/>
      <c r="W650" s="19"/>
    </row>
    <row r="651" ht="12.0" customHeight="1">
      <c r="A651" s="34"/>
      <c r="B651" s="34"/>
      <c r="C651" s="34"/>
      <c r="D651" s="34"/>
      <c r="E651" s="1"/>
      <c r="F651" s="35"/>
      <c r="G651" s="35"/>
      <c r="T651" s="19"/>
      <c r="U651" s="19"/>
      <c r="V651" s="19"/>
      <c r="W651" s="19"/>
    </row>
    <row r="652" ht="12.0" customHeight="1">
      <c r="A652" s="34"/>
      <c r="B652" s="34"/>
      <c r="C652" s="34"/>
      <c r="D652" s="34"/>
      <c r="E652" s="1"/>
      <c r="F652" s="35"/>
      <c r="G652" s="35"/>
      <c r="T652" s="19"/>
      <c r="U652" s="19"/>
      <c r="V652" s="19"/>
      <c r="W652" s="19"/>
    </row>
    <row r="653" ht="12.0" customHeight="1">
      <c r="A653" s="34"/>
      <c r="B653" s="34"/>
      <c r="C653" s="34"/>
      <c r="D653" s="34"/>
      <c r="E653" s="1"/>
      <c r="F653" s="35"/>
      <c r="G653" s="35"/>
      <c r="T653" s="19"/>
      <c r="U653" s="19"/>
      <c r="V653" s="19"/>
      <c r="W653" s="19"/>
    </row>
    <row r="654" ht="12.0" customHeight="1">
      <c r="A654" s="34"/>
      <c r="B654" s="34"/>
      <c r="C654" s="34"/>
      <c r="D654" s="34"/>
      <c r="E654" s="1"/>
      <c r="F654" s="35"/>
      <c r="G654" s="35"/>
      <c r="T654" s="19"/>
      <c r="U654" s="19"/>
      <c r="V654" s="19"/>
      <c r="W654" s="19"/>
    </row>
    <row r="655" ht="12.0" customHeight="1">
      <c r="A655" s="34"/>
      <c r="B655" s="34"/>
      <c r="C655" s="34"/>
      <c r="D655" s="34"/>
      <c r="E655" s="1"/>
      <c r="F655" s="35"/>
      <c r="G655" s="35"/>
      <c r="T655" s="19"/>
      <c r="U655" s="19"/>
      <c r="V655" s="19"/>
      <c r="W655" s="19"/>
    </row>
    <row r="656" ht="12.0" customHeight="1">
      <c r="A656" s="34"/>
      <c r="B656" s="34"/>
      <c r="C656" s="34"/>
      <c r="D656" s="34"/>
      <c r="E656" s="1"/>
      <c r="F656" s="35"/>
      <c r="G656" s="35"/>
      <c r="T656" s="19"/>
      <c r="U656" s="19"/>
      <c r="V656" s="19"/>
      <c r="W656" s="19"/>
    </row>
    <row r="657" ht="12.0" customHeight="1">
      <c r="A657" s="34"/>
      <c r="B657" s="34"/>
      <c r="C657" s="34"/>
      <c r="D657" s="34"/>
      <c r="E657" s="1"/>
      <c r="F657" s="35"/>
      <c r="G657" s="35"/>
      <c r="T657" s="19"/>
      <c r="U657" s="19"/>
      <c r="V657" s="19"/>
      <c r="W657" s="19"/>
    </row>
    <row r="658" ht="12.0" customHeight="1">
      <c r="A658" s="34"/>
      <c r="B658" s="34"/>
      <c r="C658" s="34"/>
      <c r="D658" s="34"/>
      <c r="E658" s="1"/>
      <c r="F658" s="35"/>
      <c r="G658" s="35"/>
      <c r="T658" s="19"/>
      <c r="U658" s="19"/>
      <c r="V658" s="19"/>
      <c r="W658" s="19"/>
    </row>
    <row r="659" ht="12.0" customHeight="1">
      <c r="A659" s="34"/>
      <c r="B659" s="34"/>
      <c r="C659" s="34"/>
      <c r="D659" s="34"/>
      <c r="E659" s="1"/>
      <c r="F659" s="35"/>
      <c r="G659" s="35"/>
      <c r="T659" s="19"/>
      <c r="U659" s="19"/>
      <c r="V659" s="19"/>
      <c r="W659" s="19"/>
    </row>
    <row r="660" ht="12.0" customHeight="1">
      <c r="A660" s="34"/>
      <c r="B660" s="34"/>
      <c r="C660" s="34"/>
      <c r="D660" s="34"/>
      <c r="E660" s="1"/>
      <c r="F660" s="35"/>
      <c r="G660" s="35"/>
      <c r="T660" s="19"/>
      <c r="U660" s="19"/>
      <c r="V660" s="19"/>
      <c r="W660" s="19"/>
    </row>
    <row r="661" ht="12.0" customHeight="1">
      <c r="A661" s="34"/>
      <c r="B661" s="34"/>
      <c r="C661" s="34"/>
      <c r="D661" s="34"/>
      <c r="E661" s="1"/>
      <c r="F661" s="35"/>
      <c r="G661" s="35"/>
      <c r="T661" s="19"/>
      <c r="U661" s="19"/>
      <c r="V661" s="19"/>
      <c r="W661" s="19"/>
    </row>
    <row r="662" ht="12.0" customHeight="1">
      <c r="A662" s="34"/>
      <c r="B662" s="34"/>
      <c r="C662" s="34"/>
      <c r="D662" s="34"/>
      <c r="E662" s="1"/>
      <c r="F662" s="35"/>
      <c r="G662" s="35"/>
      <c r="T662" s="19"/>
      <c r="U662" s="19"/>
      <c r="V662" s="19"/>
      <c r="W662" s="19"/>
    </row>
    <row r="663" ht="12.0" customHeight="1">
      <c r="A663" s="34"/>
      <c r="B663" s="34"/>
      <c r="C663" s="34"/>
      <c r="D663" s="34"/>
      <c r="E663" s="1"/>
      <c r="F663" s="35"/>
      <c r="G663" s="35"/>
      <c r="T663" s="19"/>
      <c r="U663" s="19"/>
      <c r="V663" s="19"/>
      <c r="W663" s="19"/>
    </row>
    <row r="664" ht="12.0" customHeight="1">
      <c r="A664" s="34"/>
      <c r="B664" s="34"/>
      <c r="C664" s="34"/>
      <c r="D664" s="34"/>
      <c r="E664" s="1"/>
      <c r="F664" s="35"/>
      <c r="G664" s="35"/>
      <c r="T664" s="19"/>
      <c r="U664" s="19"/>
      <c r="V664" s="19"/>
      <c r="W664" s="19"/>
    </row>
    <row r="665" ht="12.0" customHeight="1">
      <c r="A665" s="34"/>
      <c r="B665" s="34"/>
      <c r="C665" s="34"/>
      <c r="D665" s="34"/>
      <c r="E665" s="1"/>
      <c r="F665" s="35"/>
      <c r="G665" s="35"/>
      <c r="T665" s="19"/>
      <c r="U665" s="19"/>
      <c r="V665" s="19"/>
      <c r="W665" s="19"/>
    </row>
    <row r="666" ht="12.0" customHeight="1">
      <c r="A666" s="34"/>
      <c r="B666" s="34"/>
      <c r="C666" s="34"/>
      <c r="D666" s="34"/>
      <c r="E666" s="1"/>
      <c r="F666" s="35"/>
      <c r="G666" s="35"/>
      <c r="T666" s="19"/>
      <c r="U666" s="19"/>
      <c r="V666" s="19"/>
      <c r="W666" s="19"/>
    </row>
    <row r="667" ht="12.0" customHeight="1">
      <c r="A667" s="34"/>
      <c r="B667" s="34"/>
      <c r="C667" s="34"/>
      <c r="D667" s="34"/>
      <c r="E667" s="1"/>
      <c r="F667" s="35"/>
      <c r="G667" s="35"/>
      <c r="T667" s="19"/>
      <c r="U667" s="19"/>
      <c r="V667" s="19"/>
      <c r="W667" s="19"/>
    </row>
    <row r="668" ht="12.0" customHeight="1">
      <c r="A668" s="34"/>
      <c r="B668" s="34"/>
      <c r="C668" s="34"/>
      <c r="D668" s="34"/>
      <c r="E668" s="1"/>
      <c r="F668" s="35"/>
      <c r="G668" s="35"/>
      <c r="T668" s="19"/>
      <c r="U668" s="19"/>
      <c r="V668" s="19"/>
      <c r="W668" s="19"/>
    </row>
    <row r="669" ht="12.0" customHeight="1">
      <c r="A669" s="34"/>
      <c r="B669" s="34"/>
      <c r="C669" s="34"/>
      <c r="D669" s="34"/>
      <c r="E669" s="1"/>
      <c r="F669" s="35"/>
      <c r="G669" s="35"/>
      <c r="T669" s="19"/>
      <c r="U669" s="19"/>
      <c r="V669" s="19"/>
      <c r="W669" s="19"/>
    </row>
    <row r="670" ht="12.0" customHeight="1">
      <c r="A670" s="34"/>
      <c r="B670" s="34"/>
      <c r="C670" s="34"/>
      <c r="D670" s="34"/>
      <c r="E670" s="1"/>
      <c r="F670" s="35"/>
      <c r="G670" s="35"/>
      <c r="T670" s="19"/>
      <c r="U670" s="19"/>
      <c r="V670" s="19"/>
      <c r="W670" s="19"/>
    </row>
    <row r="671" ht="12.0" customHeight="1">
      <c r="A671" s="34"/>
      <c r="B671" s="34"/>
      <c r="C671" s="34"/>
      <c r="D671" s="34"/>
      <c r="E671" s="1"/>
      <c r="F671" s="35"/>
      <c r="G671" s="35"/>
      <c r="T671" s="19"/>
      <c r="U671" s="19"/>
      <c r="V671" s="19"/>
      <c r="W671" s="19"/>
    </row>
    <row r="672" ht="12.0" customHeight="1">
      <c r="A672" s="34"/>
      <c r="B672" s="34"/>
      <c r="C672" s="34"/>
      <c r="D672" s="34"/>
      <c r="E672" s="1"/>
      <c r="F672" s="35"/>
      <c r="G672" s="35"/>
      <c r="T672" s="19"/>
      <c r="U672" s="19"/>
      <c r="V672" s="19"/>
      <c r="W672" s="19"/>
    </row>
    <row r="673" ht="12.0" customHeight="1">
      <c r="A673" s="34"/>
      <c r="B673" s="34"/>
      <c r="C673" s="34"/>
      <c r="D673" s="34"/>
      <c r="E673" s="1"/>
      <c r="F673" s="35"/>
      <c r="G673" s="35"/>
      <c r="T673" s="19"/>
      <c r="U673" s="19"/>
      <c r="V673" s="19"/>
      <c r="W673" s="19"/>
    </row>
    <row r="674" ht="12.0" customHeight="1">
      <c r="A674" s="34"/>
      <c r="B674" s="34"/>
      <c r="C674" s="34"/>
      <c r="D674" s="34"/>
      <c r="E674" s="1"/>
      <c r="F674" s="35"/>
      <c r="G674" s="35"/>
      <c r="T674" s="19"/>
      <c r="U674" s="19"/>
      <c r="V674" s="19"/>
      <c r="W674" s="19"/>
    </row>
    <row r="675" ht="12.0" customHeight="1">
      <c r="A675" s="34"/>
      <c r="B675" s="34"/>
      <c r="C675" s="34"/>
      <c r="D675" s="34"/>
      <c r="E675" s="1"/>
      <c r="F675" s="35"/>
      <c r="G675" s="35"/>
      <c r="T675" s="19"/>
      <c r="U675" s="19"/>
      <c r="V675" s="19"/>
      <c r="W675" s="19"/>
    </row>
    <row r="676" ht="12.0" customHeight="1">
      <c r="A676" s="34"/>
      <c r="B676" s="34"/>
      <c r="C676" s="34"/>
      <c r="D676" s="34"/>
      <c r="E676" s="1"/>
      <c r="F676" s="35"/>
      <c r="G676" s="35"/>
      <c r="T676" s="19"/>
      <c r="U676" s="19"/>
      <c r="V676" s="19"/>
      <c r="W676" s="19"/>
    </row>
    <row r="677" ht="12.0" customHeight="1">
      <c r="A677" s="34"/>
      <c r="B677" s="34"/>
      <c r="C677" s="34"/>
      <c r="D677" s="34"/>
      <c r="E677" s="1"/>
      <c r="F677" s="35"/>
      <c r="G677" s="35"/>
      <c r="T677" s="19"/>
      <c r="U677" s="19"/>
      <c r="V677" s="19"/>
      <c r="W677" s="19"/>
    </row>
    <row r="678" ht="12.0" customHeight="1">
      <c r="A678" s="34"/>
      <c r="B678" s="34"/>
      <c r="C678" s="34"/>
      <c r="D678" s="34"/>
      <c r="E678" s="1"/>
      <c r="F678" s="35"/>
      <c r="G678" s="35"/>
      <c r="T678" s="19"/>
      <c r="U678" s="19"/>
      <c r="V678" s="19"/>
      <c r="W678" s="19"/>
    </row>
    <row r="679" ht="12.0" customHeight="1">
      <c r="A679" s="34"/>
      <c r="B679" s="34"/>
      <c r="C679" s="34"/>
      <c r="D679" s="34"/>
      <c r="E679" s="1"/>
      <c r="F679" s="35"/>
      <c r="G679" s="35"/>
      <c r="T679" s="19"/>
      <c r="U679" s="19"/>
      <c r="V679" s="19"/>
      <c r="W679" s="19"/>
    </row>
    <row r="680" ht="12.0" customHeight="1">
      <c r="A680" s="34"/>
      <c r="B680" s="34"/>
      <c r="C680" s="34"/>
      <c r="D680" s="34"/>
      <c r="E680" s="1"/>
      <c r="F680" s="35"/>
      <c r="G680" s="35"/>
      <c r="T680" s="19"/>
      <c r="U680" s="19"/>
      <c r="V680" s="19"/>
      <c r="W680" s="19"/>
    </row>
    <row r="681" ht="12.0" customHeight="1">
      <c r="A681" s="34"/>
      <c r="B681" s="34"/>
      <c r="C681" s="34"/>
      <c r="D681" s="34"/>
      <c r="E681" s="1"/>
      <c r="F681" s="35"/>
      <c r="G681" s="35"/>
      <c r="T681" s="19"/>
      <c r="U681" s="19"/>
      <c r="V681" s="19"/>
      <c r="W681" s="19"/>
    </row>
    <row r="682" ht="12.0" customHeight="1">
      <c r="A682" s="34"/>
      <c r="B682" s="34"/>
      <c r="C682" s="34"/>
      <c r="D682" s="34"/>
      <c r="E682" s="1"/>
      <c r="F682" s="35"/>
      <c r="G682" s="35"/>
      <c r="T682" s="19"/>
      <c r="U682" s="19"/>
      <c r="V682" s="19"/>
      <c r="W682" s="19"/>
    </row>
    <row r="683" ht="12.0" customHeight="1">
      <c r="A683" s="34"/>
      <c r="B683" s="34"/>
      <c r="C683" s="34"/>
      <c r="D683" s="34"/>
      <c r="E683" s="1"/>
      <c r="F683" s="35"/>
      <c r="G683" s="35"/>
      <c r="T683" s="19"/>
      <c r="U683" s="19"/>
      <c r="V683" s="19"/>
      <c r="W683" s="19"/>
    </row>
    <row r="684" ht="12.0" customHeight="1">
      <c r="A684" s="34"/>
      <c r="B684" s="34"/>
      <c r="C684" s="34"/>
      <c r="D684" s="34"/>
      <c r="E684" s="1"/>
      <c r="F684" s="35"/>
      <c r="G684" s="35"/>
      <c r="T684" s="19"/>
      <c r="U684" s="19"/>
      <c r="V684" s="19"/>
      <c r="W684" s="19"/>
    </row>
    <row r="685" ht="12.0" customHeight="1">
      <c r="A685" s="34"/>
      <c r="B685" s="34"/>
      <c r="C685" s="34"/>
      <c r="D685" s="34"/>
      <c r="E685" s="1"/>
      <c r="F685" s="35"/>
      <c r="G685" s="35"/>
      <c r="T685" s="19"/>
      <c r="U685" s="19"/>
      <c r="V685" s="19"/>
      <c r="W685" s="19"/>
    </row>
    <row r="686" ht="12.0" customHeight="1">
      <c r="A686" s="34"/>
      <c r="B686" s="34"/>
      <c r="C686" s="34"/>
      <c r="D686" s="34"/>
      <c r="E686" s="1"/>
      <c r="F686" s="35"/>
      <c r="G686" s="35"/>
      <c r="T686" s="19"/>
      <c r="U686" s="19"/>
      <c r="V686" s="19"/>
      <c r="W686" s="19"/>
    </row>
    <row r="687" ht="12.0" customHeight="1">
      <c r="A687" s="34"/>
      <c r="B687" s="34"/>
      <c r="C687" s="34"/>
      <c r="D687" s="34"/>
      <c r="E687" s="1"/>
      <c r="F687" s="35"/>
      <c r="G687" s="35"/>
      <c r="T687" s="19"/>
      <c r="U687" s="19"/>
      <c r="V687" s="19"/>
      <c r="W687" s="19"/>
    </row>
    <row r="688" ht="12.0" customHeight="1">
      <c r="A688" s="34"/>
      <c r="B688" s="34"/>
      <c r="C688" s="34"/>
      <c r="D688" s="34"/>
      <c r="E688" s="1"/>
      <c r="F688" s="35"/>
      <c r="G688" s="35"/>
      <c r="T688" s="19"/>
      <c r="U688" s="19"/>
      <c r="V688" s="19"/>
      <c r="W688" s="19"/>
    </row>
    <row r="689" ht="12.0" customHeight="1">
      <c r="A689" s="34"/>
      <c r="B689" s="34"/>
      <c r="C689" s="34"/>
      <c r="D689" s="34"/>
      <c r="E689" s="1"/>
      <c r="F689" s="35"/>
      <c r="G689" s="35"/>
      <c r="T689" s="19"/>
      <c r="U689" s="19"/>
      <c r="V689" s="19"/>
      <c r="W689" s="19"/>
    </row>
    <row r="690" ht="12.0" customHeight="1">
      <c r="A690" s="34"/>
      <c r="B690" s="34"/>
      <c r="C690" s="34"/>
      <c r="D690" s="34"/>
      <c r="E690" s="1"/>
      <c r="F690" s="35"/>
      <c r="G690" s="35"/>
      <c r="T690" s="19"/>
      <c r="U690" s="19"/>
      <c r="V690" s="19"/>
      <c r="W690" s="19"/>
    </row>
    <row r="691" ht="12.0" customHeight="1">
      <c r="A691" s="34"/>
      <c r="B691" s="34"/>
      <c r="C691" s="34"/>
      <c r="D691" s="34"/>
      <c r="E691" s="1"/>
      <c r="F691" s="35"/>
      <c r="G691" s="35"/>
      <c r="T691" s="19"/>
      <c r="U691" s="19"/>
      <c r="V691" s="19"/>
      <c r="W691" s="19"/>
    </row>
    <row r="692" ht="12.0" customHeight="1">
      <c r="A692" s="34"/>
      <c r="B692" s="34"/>
      <c r="C692" s="34"/>
      <c r="D692" s="34"/>
      <c r="E692" s="1"/>
      <c r="F692" s="35"/>
      <c r="G692" s="35"/>
      <c r="T692" s="19"/>
      <c r="U692" s="19"/>
      <c r="V692" s="19"/>
      <c r="W692" s="19"/>
    </row>
    <row r="693" ht="12.0" customHeight="1">
      <c r="A693" s="34"/>
      <c r="B693" s="34"/>
      <c r="C693" s="34"/>
      <c r="D693" s="34"/>
      <c r="E693" s="1"/>
      <c r="F693" s="35"/>
      <c r="G693" s="35"/>
      <c r="T693" s="19"/>
      <c r="U693" s="19"/>
      <c r="V693" s="19"/>
      <c r="W693" s="19"/>
    </row>
    <row r="694" ht="12.0" customHeight="1">
      <c r="A694" s="34"/>
      <c r="B694" s="34"/>
      <c r="C694" s="34"/>
      <c r="D694" s="34"/>
      <c r="E694" s="1"/>
      <c r="F694" s="35"/>
      <c r="G694" s="35"/>
      <c r="T694" s="19"/>
      <c r="U694" s="19"/>
      <c r="V694" s="19"/>
      <c r="W694" s="19"/>
    </row>
    <row r="695" ht="12.0" customHeight="1">
      <c r="A695" s="36"/>
      <c r="B695" s="36"/>
      <c r="C695" s="36"/>
      <c r="D695" s="36"/>
      <c r="E695" s="1"/>
      <c r="F695" s="35"/>
      <c r="G695" s="35"/>
    </row>
    <row r="696" ht="12.0" customHeight="1">
      <c r="A696" s="36"/>
      <c r="B696" s="36"/>
      <c r="C696" s="36"/>
      <c r="D696" s="36"/>
      <c r="E696" s="1"/>
      <c r="F696" s="35"/>
      <c r="G696" s="35"/>
    </row>
    <row r="697" ht="12.0" customHeight="1">
      <c r="A697" s="36"/>
      <c r="B697" s="36"/>
      <c r="C697" s="36"/>
      <c r="D697" s="36"/>
      <c r="E697" s="1"/>
      <c r="F697" s="35"/>
      <c r="G697" s="35"/>
    </row>
    <row r="698" ht="12.0" customHeight="1">
      <c r="A698" s="36"/>
      <c r="B698" s="36"/>
      <c r="C698" s="36"/>
      <c r="D698" s="36"/>
      <c r="E698" s="1"/>
      <c r="F698" s="35"/>
      <c r="G698" s="35"/>
    </row>
    <row r="699" ht="12.0" customHeight="1">
      <c r="A699" s="36"/>
      <c r="B699" s="36"/>
      <c r="C699" s="36"/>
      <c r="D699" s="36"/>
      <c r="E699" s="1"/>
      <c r="F699" s="35"/>
      <c r="G699" s="35"/>
    </row>
    <row r="700" ht="12.0" customHeight="1">
      <c r="A700" s="36"/>
      <c r="B700" s="36"/>
      <c r="C700" s="36"/>
      <c r="D700" s="36"/>
      <c r="E700" s="1"/>
      <c r="F700" s="35"/>
      <c r="G700" s="35"/>
    </row>
    <row r="701" ht="12.0" customHeight="1">
      <c r="A701" s="36"/>
      <c r="B701" s="36"/>
      <c r="C701" s="36"/>
      <c r="D701" s="36"/>
      <c r="E701" s="1"/>
      <c r="F701" s="35"/>
      <c r="G701" s="35"/>
    </row>
    <row r="702" ht="12.0" customHeight="1">
      <c r="A702" s="36"/>
      <c r="B702" s="36"/>
      <c r="C702" s="36"/>
      <c r="D702" s="36"/>
      <c r="E702" s="1"/>
      <c r="F702" s="35"/>
      <c r="G702" s="35"/>
    </row>
    <row r="703" ht="12.0" customHeight="1">
      <c r="A703" s="36"/>
      <c r="B703" s="36"/>
      <c r="C703" s="36"/>
      <c r="D703" s="36"/>
      <c r="E703" s="1"/>
      <c r="F703" s="35"/>
      <c r="G703" s="35"/>
    </row>
    <row r="704" ht="12.0" customHeight="1">
      <c r="A704" s="36"/>
      <c r="B704" s="36"/>
      <c r="C704" s="36"/>
      <c r="D704" s="36"/>
      <c r="E704" s="1"/>
      <c r="F704" s="35"/>
      <c r="G704" s="35"/>
    </row>
    <row r="705" ht="12.0" customHeight="1">
      <c r="A705" s="36"/>
      <c r="B705" s="36"/>
      <c r="C705" s="36"/>
      <c r="D705" s="36"/>
      <c r="E705" s="1"/>
      <c r="F705" s="35"/>
      <c r="G705" s="35"/>
    </row>
    <row r="706" ht="12.0" customHeight="1">
      <c r="A706" s="36"/>
      <c r="B706" s="36"/>
      <c r="C706" s="36"/>
      <c r="D706" s="36"/>
      <c r="E706" s="1"/>
      <c r="F706" s="35"/>
      <c r="G706" s="35"/>
    </row>
    <row r="707" ht="12.0" customHeight="1">
      <c r="A707" s="36"/>
      <c r="B707" s="36"/>
      <c r="C707" s="36"/>
      <c r="D707" s="36"/>
      <c r="E707" s="1"/>
      <c r="F707" s="35"/>
      <c r="G707" s="35"/>
    </row>
    <row r="708" ht="12.0" customHeight="1">
      <c r="A708" s="36"/>
      <c r="B708" s="36"/>
      <c r="C708" s="36"/>
      <c r="D708" s="36"/>
      <c r="E708" s="1"/>
      <c r="F708" s="35"/>
      <c r="G708" s="35"/>
    </row>
    <row r="709" ht="12.0" customHeight="1">
      <c r="A709" s="36"/>
      <c r="B709" s="36"/>
      <c r="C709" s="36"/>
      <c r="D709" s="36"/>
      <c r="E709" s="1"/>
      <c r="F709" s="35"/>
      <c r="G709" s="35"/>
    </row>
    <row r="710" ht="12.0" customHeight="1">
      <c r="A710" s="36"/>
      <c r="B710" s="36"/>
      <c r="C710" s="36"/>
      <c r="D710" s="36"/>
      <c r="E710" s="1"/>
      <c r="F710" s="35"/>
      <c r="G710" s="35"/>
    </row>
    <row r="711" ht="12.0" customHeight="1">
      <c r="A711" s="36"/>
      <c r="B711" s="36"/>
      <c r="C711" s="36"/>
      <c r="D711" s="36"/>
      <c r="E711" s="1"/>
      <c r="F711" s="35"/>
      <c r="G711" s="35"/>
    </row>
    <row r="712" ht="12.0" customHeight="1">
      <c r="A712" s="36"/>
      <c r="B712" s="36"/>
      <c r="C712" s="36"/>
      <c r="D712" s="36"/>
      <c r="E712" s="1"/>
      <c r="F712" s="35"/>
      <c r="G712" s="35"/>
    </row>
    <row r="713" ht="12.0" customHeight="1">
      <c r="A713" s="36"/>
      <c r="B713" s="36"/>
      <c r="C713" s="36"/>
      <c r="D713" s="36"/>
      <c r="E713" s="1"/>
      <c r="F713" s="35"/>
      <c r="G713" s="35"/>
    </row>
    <row r="714" ht="12.0" customHeight="1">
      <c r="A714" s="36"/>
      <c r="B714" s="36"/>
      <c r="C714" s="36"/>
      <c r="D714" s="36"/>
      <c r="E714" s="1"/>
      <c r="F714" s="35"/>
      <c r="G714" s="35"/>
    </row>
    <row r="715" ht="12.0" customHeight="1">
      <c r="A715" s="36"/>
      <c r="B715" s="36"/>
      <c r="C715" s="36"/>
      <c r="D715" s="36"/>
      <c r="E715" s="1"/>
      <c r="F715" s="35"/>
      <c r="G715" s="35"/>
    </row>
    <row r="716" ht="12.0" customHeight="1">
      <c r="A716" s="36"/>
      <c r="B716" s="36"/>
      <c r="C716" s="36"/>
      <c r="D716" s="36"/>
      <c r="E716" s="1"/>
      <c r="F716" s="35"/>
      <c r="G716" s="35"/>
    </row>
    <row r="717" ht="12.0" customHeight="1">
      <c r="A717" s="36"/>
      <c r="B717" s="36"/>
      <c r="C717" s="36"/>
      <c r="D717" s="36"/>
      <c r="E717" s="1"/>
      <c r="F717" s="35"/>
      <c r="G717" s="35"/>
    </row>
    <row r="718" ht="12.0" customHeight="1">
      <c r="A718" s="36"/>
      <c r="B718" s="36"/>
      <c r="C718" s="36"/>
      <c r="D718" s="36"/>
      <c r="E718" s="1"/>
      <c r="F718" s="35"/>
      <c r="G718" s="35"/>
    </row>
    <row r="719" ht="12.0" customHeight="1">
      <c r="A719" s="36"/>
      <c r="B719" s="36"/>
      <c r="C719" s="36"/>
      <c r="D719" s="36"/>
      <c r="E719" s="1"/>
      <c r="F719" s="35"/>
      <c r="G719" s="35"/>
    </row>
    <row r="720" ht="12.0" customHeight="1">
      <c r="A720" s="36"/>
      <c r="B720" s="36"/>
      <c r="C720" s="36"/>
      <c r="D720" s="36"/>
      <c r="E720" s="1"/>
      <c r="F720" s="35"/>
      <c r="G720" s="35"/>
    </row>
    <row r="721" ht="12.0" customHeight="1">
      <c r="A721" s="36"/>
      <c r="B721" s="36"/>
      <c r="C721" s="36"/>
      <c r="D721" s="36"/>
      <c r="E721" s="1"/>
      <c r="F721" s="35"/>
      <c r="G721" s="35"/>
    </row>
    <row r="722" ht="12.0" customHeight="1">
      <c r="A722" s="36"/>
      <c r="B722" s="36"/>
      <c r="C722" s="36"/>
      <c r="D722" s="36"/>
      <c r="E722" s="1"/>
      <c r="F722" s="35"/>
      <c r="G722" s="35"/>
    </row>
    <row r="723" ht="12.0" customHeight="1">
      <c r="A723" s="36"/>
      <c r="B723" s="36"/>
      <c r="C723" s="36"/>
      <c r="D723" s="36"/>
      <c r="E723" s="1"/>
      <c r="F723" s="35"/>
      <c r="G723" s="35"/>
    </row>
    <row r="724" ht="12.0" customHeight="1">
      <c r="A724" s="36"/>
      <c r="B724" s="36"/>
      <c r="C724" s="36"/>
      <c r="D724" s="36"/>
      <c r="E724" s="1"/>
      <c r="F724" s="35"/>
      <c r="G724" s="35"/>
    </row>
    <row r="725" ht="12.0" customHeight="1">
      <c r="A725" s="36"/>
      <c r="B725" s="36"/>
      <c r="C725" s="36"/>
      <c r="D725" s="36"/>
      <c r="E725" s="1"/>
      <c r="F725" s="35"/>
      <c r="G725" s="35"/>
    </row>
    <row r="726" ht="12.0" customHeight="1">
      <c r="A726" s="36"/>
      <c r="B726" s="36"/>
      <c r="C726" s="36"/>
      <c r="D726" s="36"/>
      <c r="E726" s="1"/>
      <c r="F726" s="35"/>
      <c r="G726" s="35"/>
    </row>
    <row r="727" ht="12.0" customHeight="1">
      <c r="A727" s="36"/>
      <c r="B727" s="36"/>
      <c r="C727" s="36"/>
      <c r="D727" s="36"/>
      <c r="E727" s="1"/>
      <c r="F727" s="35"/>
      <c r="G727" s="35"/>
    </row>
    <row r="728" ht="12.0" customHeight="1">
      <c r="A728" s="36"/>
      <c r="B728" s="36"/>
      <c r="C728" s="36"/>
      <c r="D728" s="36"/>
      <c r="E728" s="1"/>
      <c r="F728" s="35"/>
      <c r="G728" s="35"/>
    </row>
    <row r="729" ht="12.0" customHeight="1">
      <c r="A729" s="36"/>
      <c r="B729" s="36"/>
      <c r="C729" s="36"/>
      <c r="D729" s="36"/>
      <c r="E729" s="1"/>
      <c r="F729" s="35"/>
      <c r="G729" s="35"/>
    </row>
    <row r="730" ht="12.0" customHeight="1">
      <c r="A730" s="36"/>
      <c r="B730" s="36"/>
      <c r="C730" s="36"/>
      <c r="D730" s="36"/>
      <c r="E730" s="1"/>
      <c r="F730" s="35"/>
      <c r="G730" s="35"/>
    </row>
    <row r="731" ht="12.0" customHeight="1">
      <c r="A731" s="36"/>
      <c r="B731" s="36"/>
      <c r="C731" s="36"/>
      <c r="D731" s="36"/>
      <c r="E731" s="1"/>
      <c r="F731" s="35"/>
      <c r="G731" s="35"/>
    </row>
    <row r="732" ht="12.0" customHeight="1">
      <c r="A732" s="36"/>
      <c r="B732" s="36"/>
      <c r="C732" s="36"/>
      <c r="D732" s="36"/>
      <c r="E732" s="1"/>
      <c r="F732" s="35"/>
      <c r="G732" s="35"/>
    </row>
    <row r="733" ht="12.0" customHeight="1">
      <c r="A733" s="36"/>
      <c r="B733" s="36"/>
      <c r="C733" s="36"/>
      <c r="D733" s="36"/>
      <c r="E733" s="1"/>
      <c r="F733" s="35"/>
      <c r="G733" s="35"/>
    </row>
    <row r="734" ht="12.0" customHeight="1">
      <c r="A734" s="36"/>
      <c r="B734" s="36"/>
      <c r="C734" s="36"/>
      <c r="D734" s="36"/>
      <c r="E734" s="1"/>
      <c r="F734" s="35"/>
      <c r="G734" s="35"/>
    </row>
    <row r="735" ht="12.0" customHeight="1">
      <c r="A735" s="36"/>
      <c r="B735" s="36"/>
      <c r="C735" s="36"/>
      <c r="D735" s="36"/>
      <c r="E735" s="1"/>
      <c r="F735" s="35"/>
      <c r="G735" s="35"/>
    </row>
    <row r="736" ht="12.0" customHeight="1">
      <c r="A736" s="36"/>
      <c r="B736" s="36"/>
      <c r="C736" s="36"/>
      <c r="D736" s="36"/>
      <c r="E736" s="1"/>
      <c r="F736" s="35"/>
      <c r="G736" s="35"/>
    </row>
    <row r="737" ht="12.0" customHeight="1">
      <c r="A737" s="36"/>
      <c r="B737" s="36"/>
      <c r="C737" s="36"/>
      <c r="D737" s="36"/>
      <c r="E737" s="1"/>
      <c r="F737" s="35"/>
      <c r="G737" s="35"/>
    </row>
    <row r="738" ht="12.0" customHeight="1">
      <c r="A738" s="36"/>
      <c r="B738" s="36"/>
      <c r="C738" s="36"/>
      <c r="D738" s="36"/>
      <c r="E738" s="1"/>
      <c r="F738" s="35"/>
      <c r="G738" s="35"/>
    </row>
    <row r="739" ht="12.0" customHeight="1">
      <c r="A739" s="36"/>
      <c r="B739" s="36"/>
      <c r="C739" s="36"/>
      <c r="D739" s="36"/>
      <c r="E739" s="1"/>
      <c r="F739" s="35"/>
      <c r="G739" s="35"/>
    </row>
    <row r="740" ht="12.0" customHeight="1">
      <c r="A740" s="36"/>
      <c r="B740" s="36"/>
      <c r="C740" s="36"/>
      <c r="D740" s="36"/>
      <c r="E740" s="1"/>
      <c r="F740" s="35"/>
      <c r="G740" s="35"/>
    </row>
    <row r="741" ht="12.0" customHeight="1">
      <c r="A741" s="36"/>
      <c r="B741" s="36"/>
      <c r="C741" s="36"/>
      <c r="D741" s="36"/>
      <c r="E741" s="1"/>
      <c r="F741" s="35"/>
      <c r="G741" s="35"/>
    </row>
    <row r="742" ht="12.0" customHeight="1">
      <c r="A742" s="36"/>
      <c r="B742" s="36"/>
      <c r="C742" s="36"/>
      <c r="D742" s="36"/>
      <c r="E742" s="1"/>
      <c r="F742" s="35"/>
      <c r="G742" s="35"/>
    </row>
    <row r="743" ht="12.0" customHeight="1">
      <c r="A743" s="36"/>
      <c r="B743" s="36"/>
      <c r="C743" s="36"/>
      <c r="D743" s="36"/>
      <c r="E743" s="1"/>
      <c r="F743" s="35"/>
      <c r="G743" s="35"/>
    </row>
    <row r="744" ht="12.0" customHeight="1">
      <c r="A744" s="36"/>
      <c r="B744" s="36"/>
      <c r="C744" s="36"/>
      <c r="D744" s="36"/>
      <c r="E744" s="1"/>
      <c r="F744" s="35"/>
      <c r="G744" s="35"/>
    </row>
    <row r="745" ht="12.0" customHeight="1">
      <c r="A745" s="36"/>
      <c r="B745" s="36"/>
      <c r="C745" s="36"/>
      <c r="D745" s="36"/>
      <c r="E745" s="1"/>
      <c r="F745" s="35"/>
      <c r="G745" s="35"/>
    </row>
    <row r="746" ht="12.0" customHeight="1">
      <c r="A746" s="36"/>
      <c r="B746" s="36"/>
      <c r="C746" s="36"/>
      <c r="D746" s="36"/>
      <c r="E746" s="1"/>
      <c r="F746" s="35"/>
      <c r="G746" s="35"/>
    </row>
    <row r="747" ht="12.0" customHeight="1">
      <c r="A747" s="36"/>
      <c r="B747" s="36"/>
      <c r="C747" s="36"/>
      <c r="D747" s="36"/>
      <c r="E747" s="1"/>
      <c r="F747" s="35"/>
      <c r="G747" s="35"/>
    </row>
    <row r="748" ht="12.0" customHeight="1">
      <c r="A748" s="36"/>
      <c r="B748" s="36"/>
      <c r="C748" s="36"/>
      <c r="D748" s="36"/>
      <c r="E748" s="1"/>
      <c r="F748" s="35"/>
      <c r="G748" s="35"/>
    </row>
    <row r="749" ht="12.0" customHeight="1">
      <c r="A749" s="36"/>
      <c r="B749" s="36"/>
      <c r="C749" s="36"/>
      <c r="D749" s="36"/>
      <c r="E749" s="1"/>
      <c r="F749" s="35"/>
      <c r="G749" s="35"/>
    </row>
    <row r="750" ht="12.0" customHeight="1">
      <c r="A750" s="36"/>
      <c r="B750" s="36"/>
      <c r="C750" s="36"/>
      <c r="D750" s="36"/>
      <c r="E750" s="1"/>
      <c r="F750" s="35"/>
      <c r="G750" s="35"/>
    </row>
    <row r="751" ht="12.0" customHeight="1">
      <c r="A751" s="36"/>
      <c r="B751" s="36"/>
      <c r="C751" s="36"/>
      <c r="D751" s="36"/>
      <c r="E751" s="1"/>
      <c r="F751" s="35"/>
      <c r="G751" s="35"/>
    </row>
    <row r="752" ht="12.0" customHeight="1">
      <c r="A752" s="36"/>
      <c r="B752" s="36"/>
      <c r="C752" s="36"/>
      <c r="D752" s="36"/>
      <c r="E752" s="1"/>
      <c r="F752" s="35"/>
      <c r="G752" s="35"/>
    </row>
    <row r="753" ht="12.0" customHeight="1">
      <c r="A753" s="36"/>
      <c r="B753" s="36"/>
      <c r="C753" s="36"/>
      <c r="D753" s="36"/>
      <c r="E753" s="1"/>
      <c r="F753" s="35"/>
      <c r="G753" s="35"/>
    </row>
    <row r="754" ht="12.0" customHeight="1">
      <c r="A754" s="36"/>
      <c r="B754" s="36"/>
      <c r="C754" s="36"/>
      <c r="D754" s="36"/>
      <c r="E754" s="1"/>
      <c r="F754" s="35"/>
      <c r="G754" s="35"/>
    </row>
    <row r="755" ht="12.0" customHeight="1">
      <c r="A755" s="36"/>
      <c r="B755" s="36"/>
      <c r="C755" s="36"/>
      <c r="D755" s="36"/>
      <c r="E755" s="1"/>
      <c r="F755" s="35"/>
      <c r="G755" s="35"/>
    </row>
    <row r="756" ht="12.0" customHeight="1">
      <c r="A756" s="36"/>
      <c r="B756" s="36"/>
      <c r="C756" s="36"/>
      <c r="D756" s="36"/>
      <c r="E756" s="1"/>
      <c r="F756" s="35"/>
      <c r="G756" s="35"/>
    </row>
    <row r="757" ht="12.0" customHeight="1">
      <c r="A757" s="36"/>
      <c r="B757" s="36"/>
      <c r="C757" s="36"/>
      <c r="D757" s="36"/>
      <c r="E757" s="1"/>
      <c r="F757" s="35"/>
      <c r="G757" s="35"/>
    </row>
    <row r="758" ht="12.0" customHeight="1">
      <c r="A758" s="36"/>
      <c r="B758" s="36"/>
      <c r="C758" s="36"/>
      <c r="D758" s="36"/>
      <c r="E758" s="1"/>
      <c r="F758" s="35"/>
      <c r="G758" s="35"/>
    </row>
    <row r="759" ht="12.0" customHeight="1">
      <c r="A759" s="36"/>
      <c r="B759" s="36"/>
      <c r="C759" s="36"/>
      <c r="D759" s="36"/>
      <c r="E759" s="1"/>
      <c r="F759" s="35"/>
      <c r="G759" s="35"/>
    </row>
    <row r="760" ht="12.0" customHeight="1">
      <c r="A760" s="36"/>
      <c r="B760" s="36"/>
      <c r="C760" s="36"/>
      <c r="D760" s="36"/>
      <c r="E760" s="1"/>
      <c r="F760" s="35"/>
      <c r="G760" s="35"/>
    </row>
    <row r="761" ht="12.0" customHeight="1">
      <c r="A761" s="36"/>
      <c r="B761" s="36"/>
      <c r="C761" s="36"/>
      <c r="D761" s="36"/>
      <c r="E761" s="1"/>
      <c r="F761" s="35"/>
      <c r="G761" s="35"/>
    </row>
    <row r="762" ht="12.0" customHeight="1">
      <c r="A762" s="36"/>
      <c r="B762" s="36"/>
      <c r="C762" s="36"/>
      <c r="D762" s="36"/>
      <c r="E762" s="1"/>
      <c r="F762" s="35"/>
      <c r="G762" s="35"/>
    </row>
    <row r="763" ht="12.0" customHeight="1">
      <c r="A763" s="36"/>
      <c r="B763" s="36"/>
      <c r="C763" s="36"/>
      <c r="D763" s="36"/>
      <c r="E763" s="1"/>
      <c r="F763" s="35"/>
      <c r="G763" s="35"/>
    </row>
    <row r="764" ht="12.0" customHeight="1">
      <c r="A764" s="36"/>
      <c r="B764" s="36"/>
      <c r="C764" s="36"/>
      <c r="D764" s="36"/>
      <c r="E764" s="1"/>
      <c r="F764" s="35"/>
      <c r="G764" s="35"/>
    </row>
    <row r="765" ht="12.0" customHeight="1">
      <c r="A765" s="36"/>
      <c r="B765" s="36"/>
      <c r="C765" s="36"/>
      <c r="D765" s="36"/>
      <c r="E765" s="1"/>
      <c r="F765" s="35"/>
      <c r="G765" s="35"/>
    </row>
    <row r="766" ht="12.0" customHeight="1">
      <c r="A766" s="36"/>
      <c r="B766" s="36"/>
      <c r="C766" s="36"/>
      <c r="D766" s="36"/>
      <c r="E766" s="1"/>
      <c r="F766" s="35"/>
      <c r="G766" s="35"/>
    </row>
    <row r="767" ht="12.0" customHeight="1">
      <c r="A767" s="36"/>
      <c r="B767" s="36"/>
      <c r="C767" s="36"/>
      <c r="D767" s="36"/>
      <c r="E767" s="1"/>
      <c r="F767" s="35"/>
      <c r="G767" s="35"/>
    </row>
    <row r="768" ht="12.0" customHeight="1">
      <c r="A768" s="36"/>
      <c r="B768" s="36"/>
      <c r="C768" s="36"/>
      <c r="D768" s="36"/>
      <c r="E768" s="1"/>
      <c r="F768" s="35"/>
      <c r="G768" s="35"/>
    </row>
    <row r="769" ht="12.0" customHeight="1">
      <c r="A769" s="36"/>
      <c r="B769" s="36"/>
      <c r="C769" s="36"/>
      <c r="D769" s="36"/>
      <c r="E769" s="1"/>
      <c r="F769" s="35"/>
      <c r="G769" s="35"/>
    </row>
    <row r="770" ht="12.0" customHeight="1">
      <c r="A770" s="36"/>
      <c r="B770" s="36"/>
      <c r="C770" s="36"/>
      <c r="D770" s="36"/>
      <c r="E770" s="1"/>
      <c r="F770" s="35"/>
      <c r="G770" s="35"/>
    </row>
    <row r="771" ht="12.0" customHeight="1">
      <c r="A771" s="36"/>
      <c r="B771" s="36"/>
      <c r="C771" s="36"/>
      <c r="D771" s="36"/>
      <c r="E771" s="1"/>
      <c r="F771" s="35"/>
      <c r="G771" s="35"/>
    </row>
    <row r="772" ht="12.0" customHeight="1">
      <c r="A772" s="36"/>
      <c r="B772" s="36"/>
      <c r="C772" s="36"/>
      <c r="D772" s="36"/>
      <c r="E772" s="1"/>
      <c r="F772" s="35"/>
      <c r="G772" s="35"/>
    </row>
    <row r="773" ht="12.0" customHeight="1">
      <c r="A773" s="36"/>
      <c r="B773" s="36"/>
      <c r="C773" s="36"/>
      <c r="D773" s="36"/>
      <c r="E773" s="1"/>
      <c r="F773" s="35"/>
      <c r="G773" s="35"/>
    </row>
    <row r="774" ht="12.0" customHeight="1">
      <c r="A774" s="36"/>
      <c r="B774" s="36"/>
      <c r="C774" s="36"/>
      <c r="D774" s="36"/>
      <c r="E774" s="1"/>
      <c r="F774" s="35"/>
      <c r="G774" s="35"/>
    </row>
    <row r="775" ht="12.0" customHeight="1">
      <c r="A775" s="36"/>
      <c r="B775" s="36"/>
      <c r="C775" s="36"/>
      <c r="D775" s="36"/>
      <c r="E775" s="1"/>
      <c r="F775" s="35"/>
      <c r="G775" s="35"/>
    </row>
    <row r="776" ht="12.0" customHeight="1">
      <c r="A776" s="36"/>
      <c r="B776" s="36"/>
      <c r="C776" s="36"/>
      <c r="D776" s="36"/>
      <c r="E776" s="1"/>
      <c r="F776" s="35"/>
      <c r="G776" s="35"/>
    </row>
    <row r="777" ht="12.0" customHeight="1">
      <c r="A777" s="36"/>
      <c r="B777" s="36"/>
      <c r="C777" s="36"/>
      <c r="D777" s="36"/>
      <c r="E777" s="1"/>
      <c r="F777" s="35"/>
      <c r="G777" s="35"/>
    </row>
    <row r="778" ht="12.0" customHeight="1">
      <c r="A778" s="36"/>
      <c r="B778" s="36"/>
      <c r="C778" s="36"/>
      <c r="D778" s="36"/>
      <c r="E778" s="1"/>
      <c r="F778" s="35"/>
      <c r="G778" s="35"/>
    </row>
    <row r="779" ht="12.0" customHeight="1">
      <c r="A779" s="36"/>
      <c r="B779" s="36"/>
      <c r="C779" s="36"/>
      <c r="D779" s="36"/>
      <c r="E779" s="1"/>
      <c r="F779" s="35"/>
      <c r="G779" s="35"/>
    </row>
    <row r="780" ht="12.0" customHeight="1">
      <c r="A780" s="36"/>
      <c r="B780" s="36"/>
      <c r="C780" s="36"/>
      <c r="D780" s="36"/>
      <c r="E780" s="1"/>
      <c r="F780" s="35"/>
      <c r="G780" s="35"/>
    </row>
    <row r="781" ht="12.0" customHeight="1">
      <c r="A781" s="36"/>
      <c r="B781" s="36"/>
      <c r="C781" s="36"/>
      <c r="D781" s="36"/>
      <c r="E781" s="1"/>
      <c r="F781" s="35"/>
      <c r="G781" s="35"/>
    </row>
    <row r="782" ht="12.0" customHeight="1">
      <c r="A782" s="36"/>
      <c r="B782" s="36"/>
      <c r="C782" s="36"/>
      <c r="D782" s="36"/>
      <c r="E782" s="1"/>
      <c r="F782" s="35"/>
      <c r="G782" s="35"/>
    </row>
    <row r="783" ht="12.0" customHeight="1">
      <c r="A783" s="36"/>
      <c r="B783" s="36"/>
      <c r="C783" s="36"/>
      <c r="D783" s="36"/>
      <c r="E783" s="1"/>
      <c r="F783" s="35"/>
      <c r="G783" s="35"/>
    </row>
    <row r="784" ht="12.0" customHeight="1">
      <c r="A784" s="36"/>
      <c r="B784" s="36"/>
      <c r="C784" s="36"/>
      <c r="D784" s="36"/>
      <c r="E784" s="1"/>
      <c r="F784" s="35"/>
      <c r="G784" s="35"/>
    </row>
    <row r="785" ht="12.0" customHeight="1">
      <c r="A785" s="36"/>
      <c r="B785" s="36"/>
      <c r="C785" s="36"/>
      <c r="D785" s="36"/>
      <c r="E785" s="1"/>
      <c r="F785" s="35"/>
      <c r="G785" s="35"/>
    </row>
    <row r="786" ht="12.0" customHeight="1">
      <c r="A786" s="36"/>
      <c r="B786" s="36"/>
      <c r="C786" s="36"/>
      <c r="D786" s="36"/>
      <c r="E786" s="1"/>
      <c r="F786" s="35"/>
      <c r="G786" s="35"/>
    </row>
    <row r="787" ht="12.0" customHeight="1">
      <c r="A787" s="36"/>
      <c r="B787" s="36"/>
      <c r="C787" s="36"/>
      <c r="D787" s="36"/>
      <c r="E787" s="1"/>
      <c r="F787" s="35"/>
      <c r="G787" s="35"/>
    </row>
    <row r="788" ht="12.0" customHeight="1">
      <c r="A788" s="36"/>
      <c r="B788" s="36"/>
      <c r="C788" s="36"/>
      <c r="D788" s="36"/>
      <c r="E788" s="1"/>
      <c r="F788" s="35"/>
      <c r="G788" s="35"/>
    </row>
    <row r="789" ht="12.0" customHeight="1">
      <c r="A789" s="36"/>
      <c r="B789" s="36"/>
      <c r="C789" s="36"/>
      <c r="D789" s="36"/>
      <c r="E789" s="1"/>
      <c r="F789" s="35"/>
      <c r="G789" s="35"/>
    </row>
    <row r="790" ht="12.0" customHeight="1">
      <c r="A790" s="36"/>
      <c r="B790" s="36"/>
      <c r="C790" s="36"/>
      <c r="D790" s="36"/>
      <c r="E790" s="1"/>
      <c r="F790" s="35"/>
      <c r="G790" s="35"/>
    </row>
    <row r="791" ht="12.0" customHeight="1">
      <c r="A791" s="36"/>
      <c r="B791" s="36"/>
      <c r="C791" s="36"/>
      <c r="D791" s="36"/>
      <c r="E791" s="1"/>
      <c r="F791" s="35"/>
      <c r="G791" s="35"/>
    </row>
    <row r="792" ht="12.0" customHeight="1">
      <c r="A792" s="36"/>
      <c r="B792" s="36"/>
      <c r="C792" s="36"/>
      <c r="D792" s="36"/>
      <c r="E792" s="1"/>
      <c r="F792" s="35"/>
      <c r="G792" s="35"/>
    </row>
    <row r="793" ht="12.0" customHeight="1">
      <c r="A793" s="36"/>
      <c r="B793" s="36"/>
      <c r="C793" s="36"/>
      <c r="D793" s="36"/>
      <c r="E793" s="1"/>
      <c r="F793" s="35"/>
      <c r="G793" s="35"/>
    </row>
    <row r="794" ht="12.0" customHeight="1">
      <c r="A794" s="36"/>
      <c r="B794" s="36"/>
      <c r="C794" s="36"/>
      <c r="D794" s="36"/>
      <c r="E794" s="1"/>
      <c r="F794" s="35"/>
      <c r="G794" s="35"/>
    </row>
    <row r="795" ht="12.0" customHeight="1">
      <c r="A795" s="36"/>
      <c r="B795" s="36"/>
      <c r="C795" s="36"/>
      <c r="D795" s="36"/>
      <c r="E795" s="1"/>
      <c r="F795" s="35"/>
      <c r="G795" s="35"/>
    </row>
    <row r="796" ht="12.0" customHeight="1">
      <c r="A796" s="36"/>
      <c r="B796" s="36"/>
      <c r="C796" s="36"/>
      <c r="D796" s="36"/>
      <c r="E796" s="1"/>
      <c r="F796" s="35"/>
      <c r="G796" s="35"/>
    </row>
    <row r="797" ht="12.0" customHeight="1">
      <c r="A797" s="36"/>
      <c r="B797" s="36"/>
      <c r="C797" s="36"/>
      <c r="D797" s="36"/>
      <c r="E797" s="1"/>
      <c r="F797" s="35"/>
      <c r="G797" s="35"/>
    </row>
    <row r="798" ht="12.0" customHeight="1">
      <c r="A798" s="36"/>
      <c r="B798" s="36"/>
      <c r="C798" s="36"/>
      <c r="D798" s="36"/>
      <c r="E798" s="1"/>
      <c r="F798" s="35"/>
      <c r="G798" s="35"/>
    </row>
    <row r="799" ht="12.0" customHeight="1">
      <c r="A799" s="36"/>
      <c r="B799" s="36"/>
      <c r="C799" s="36"/>
      <c r="D799" s="36"/>
      <c r="E799" s="1"/>
      <c r="F799" s="35"/>
      <c r="G799" s="35"/>
    </row>
    <row r="800" ht="12.0" customHeight="1">
      <c r="A800" s="36"/>
      <c r="B800" s="36"/>
      <c r="C800" s="36"/>
      <c r="D800" s="36"/>
      <c r="E800" s="1"/>
      <c r="F800" s="35"/>
      <c r="G800" s="35"/>
    </row>
    <row r="801" ht="12.0" customHeight="1">
      <c r="A801" s="36"/>
      <c r="B801" s="36"/>
      <c r="C801" s="36"/>
      <c r="D801" s="36"/>
      <c r="E801" s="1"/>
      <c r="F801" s="35"/>
      <c r="G801" s="35"/>
    </row>
    <row r="802" ht="12.0" customHeight="1">
      <c r="A802" s="36"/>
      <c r="B802" s="36"/>
      <c r="C802" s="36"/>
      <c r="D802" s="36"/>
      <c r="E802" s="1"/>
      <c r="F802" s="35"/>
      <c r="G802" s="35"/>
    </row>
    <row r="803" ht="12.0" customHeight="1">
      <c r="A803" s="36"/>
      <c r="B803" s="36"/>
      <c r="C803" s="36"/>
      <c r="D803" s="36"/>
      <c r="E803" s="1"/>
      <c r="F803" s="35"/>
      <c r="G803" s="35"/>
    </row>
    <row r="804" ht="12.0" customHeight="1">
      <c r="A804" s="36"/>
      <c r="B804" s="36"/>
      <c r="C804" s="36"/>
      <c r="D804" s="36"/>
      <c r="E804" s="1"/>
      <c r="F804" s="35"/>
      <c r="G804" s="35"/>
    </row>
    <row r="805" ht="12.0" customHeight="1">
      <c r="A805" s="36"/>
      <c r="B805" s="36"/>
      <c r="C805" s="36"/>
      <c r="D805" s="36"/>
      <c r="E805" s="1"/>
      <c r="F805" s="35"/>
      <c r="G805" s="35"/>
    </row>
    <row r="806" ht="12.0" customHeight="1">
      <c r="A806" s="36"/>
      <c r="B806" s="36"/>
      <c r="C806" s="36"/>
      <c r="D806" s="36"/>
      <c r="E806" s="1"/>
      <c r="F806" s="35"/>
      <c r="G806" s="35"/>
    </row>
    <row r="807" ht="12.0" customHeight="1">
      <c r="A807" s="36"/>
      <c r="B807" s="36"/>
      <c r="C807" s="36"/>
      <c r="D807" s="36"/>
      <c r="E807" s="1"/>
      <c r="F807" s="35"/>
      <c r="G807" s="35"/>
    </row>
    <row r="808" ht="12.0" customHeight="1">
      <c r="A808" s="36"/>
      <c r="B808" s="36"/>
      <c r="C808" s="36"/>
      <c r="D808" s="36"/>
      <c r="E808" s="1"/>
      <c r="F808" s="35"/>
      <c r="G808" s="35"/>
    </row>
    <row r="809" ht="12.0" customHeight="1">
      <c r="A809" s="36"/>
      <c r="B809" s="36"/>
      <c r="C809" s="36"/>
      <c r="D809" s="36"/>
      <c r="E809" s="1"/>
      <c r="F809" s="35"/>
      <c r="G809" s="35"/>
    </row>
    <row r="810" ht="12.0" customHeight="1">
      <c r="A810" s="36"/>
      <c r="B810" s="36"/>
      <c r="C810" s="36"/>
      <c r="D810" s="36"/>
      <c r="E810" s="1"/>
      <c r="F810" s="35"/>
      <c r="G810" s="35"/>
    </row>
    <row r="811" ht="12.0" customHeight="1">
      <c r="A811" s="36"/>
      <c r="B811" s="36"/>
      <c r="C811" s="36"/>
      <c r="D811" s="36"/>
      <c r="E811" s="1"/>
      <c r="F811" s="35"/>
      <c r="G811" s="35"/>
    </row>
    <row r="812" ht="12.0" customHeight="1">
      <c r="A812" s="36"/>
      <c r="B812" s="36"/>
      <c r="C812" s="36"/>
      <c r="D812" s="36"/>
      <c r="E812" s="1"/>
      <c r="F812" s="35"/>
      <c r="G812" s="35"/>
    </row>
    <row r="813" ht="12.0" customHeight="1">
      <c r="A813" s="36"/>
      <c r="B813" s="36"/>
      <c r="C813" s="36"/>
      <c r="D813" s="36"/>
      <c r="E813" s="1"/>
      <c r="F813" s="35"/>
      <c r="G813" s="35"/>
    </row>
    <row r="814" ht="12.0" customHeight="1">
      <c r="A814" s="36"/>
      <c r="B814" s="36"/>
      <c r="C814" s="36"/>
      <c r="D814" s="36"/>
      <c r="E814" s="1"/>
      <c r="F814" s="35"/>
      <c r="G814" s="35"/>
    </row>
    <row r="815" ht="12.0" customHeight="1">
      <c r="A815" s="36"/>
      <c r="B815" s="36"/>
      <c r="C815" s="36"/>
      <c r="D815" s="36"/>
      <c r="E815" s="1"/>
      <c r="F815" s="35"/>
      <c r="G815" s="35"/>
    </row>
    <row r="816" ht="12.0" customHeight="1">
      <c r="A816" s="36"/>
      <c r="B816" s="36"/>
      <c r="C816" s="36"/>
      <c r="D816" s="36"/>
      <c r="E816" s="1"/>
      <c r="F816" s="35"/>
      <c r="G816" s="35"/>
    </row>
    <row r="817" ht="12.0" customHeight="1">
      <c r="A817" s="36"/>
      <c r="B817" s="36"/>
      <c r="C817" s="36"/>
      <c r="D817" s="36"/>
      <c r="E817" s="1"/>
      <c r="F817" s="35"/>
      <c r="G817" s="35"/>
    </row>
    <row r="818" ht="12.0" customHeight="1">
      <c r="A818" s="36"/>
      <c r="B818" s="36"/>
      <c r="C818" s="36"/>
      <c r="D818" s="36"/>
      <c r="E818" s="1"/>
      <c r="F818" s="35"/>
      <c r="G818" s="35"/>
    </row>
    <row r="819" ht="12.0" customHeight="1">
      <c r="A819" s="36"/>
      <c r="B819" s="36"/>
      <c r="C819" s="36"/>
      <c r="D819" s="36"/>
      <c r="E819" s="1"/>
      <c r="F819" s="35"/>
      <c r="G819" s="35"/>
    </row>
    <row r="820" ht="12.0" customHeight="1">
      <c r="A820" s="36"/>
      <c r="B820" s="36"/>
      <c r="C820" s="36"/>
      <c r="D820" s="36"/>
      <c r="E820" s="1"/>
      <c r="F820" s="35"/>
      <c r="G820" s="35"/>
    </row>
    <row r="821" ht="12.0" customHeight="1">
      <c r="A821" s="36"/>
      <c r="B821" s="36"/>
      <c r="C821" s="36"/>
      <c r="D821" s="36"/>
      <c r="E821" s="1"/>
      <c r="F821" s="35"/>
      <c r="G821" s="35"/>
    </row>
    <row r="822" ht="12.0" customHeight="1">
      <c r="A822" s="36"/>
      <c r="B822" s="36"/>
      <c r="C822" s="36"/>
      <c r="D822" s="36"/>
      <c r="E822" s="1"/>
      <c r="F822" s="35"/>
      <c r="G822" s="35"/>
    </row>
    <row r="823" ht="12.0" customHeight="1">
      <c r="A823" s="36"/>
      <c r="B823" s="36"/>
      <c r="C823" s="36"/>
      <c r="D823" s="36"/>
      <c r="E823" s="1"/>
      <c r="F823" s="35"/>
      <c r="G823" s="35"/>
    </row>
    <row r="824" ht="12.0" customHeight="1">
      <c r="A824" s="36"/>
      <c r="B824" s="36"/>
      <c r="C824" s="36"/>
      <c r="D824" s="36"/>
      <c r="E824" s="1"/>
      <c r="F824" s="35"/>
      <c r="G824" s="35"/>
    </row>
    <row r="825" ht="12.0" customHeight="1">
      <c r="A825" s="36"/>
      <c r="B825" s="36"/>
      <c r="C825" s="36"/>
      <c r="D825" s="36"/>
      <c r="E825" s="1"/>
      <c r="F825" s="35"/>
      <c r="G825" s="35"/>
    </row>
    <row r="826" ht="12.0" customHeight="1">
      <c r="A826" s="36"/>
      <c r="B826" s="36"/>
      <c r="C826" s="36"/>
      <c r="D826" s="36"/>
      <c r="E826" s="1"/>
      <c r="F826" s="35"/>
      <c r="G826" s="35"/>
    </row>
    <row r="827" ht="12.0" customHeight="1">
      <c r="A827" s="36"/>
      <c r="B827" s="36"/>
      <c r="C827" s="36"/>
      <c r="D827" s="36"/>
      <c r="E827" s="1"/>
      <c r="F827" s="35"/>
      <c r="G827" s="35"/>
    </row>
    <row r="828" ht="12.0" customHeight="1">
      <c r="A828" s="36"/>
      <c r="B828" s="36"/>
      <c r="C828" s="36"/>
      <c r="D828" s="36"/>
      <c r="E828" s="1"/>
      <c r="F828" s="35"/>
      <c r="G828" s="35"/>
    </row>
    <row r="829" ht="12.0" customHeight="1">
      <c r="A829" s="36"/>
      <c r="B829" s="36"/>
      <c r="C829" s="36"/>
      <c r="D829" s="36"/>
      <c r="E829" s="1"/>
      <c r="F829" s="35"/>
      <c r="G829" s="35"/>
    </row>
    <row r="830" ht="12.0" customHeight="1">
      <c r="A830" s="36"/>
      <c r="B830" s="36"/>
      <c r="C830" s="36"/>
      <c r="D830" s="36"/>
      <c r="E830" s="1"/>
      <c r="F830" s="35"/>
      <c r="G830" s="35"/>
    </row>
    <row r="831" ht="12.0" customHeight="1">
      <c r="A831" s="36"/>
      <c r="B831" s="36"/>
      <c r="C831" s="36"/>
      <c r="D831" s="36"/>
      <c r="E831" s="1"/>
      <c r="F831" s="35"/>
      <c r="G831" s="35"/>
    </row>
    <row r="832" ht="12.0" customHeight="1">
      <c r="A832" s="36"/>
      <c r="B832" s="36"/>
      <c r="C832" s="36"/>
      <c r="D832" s="36"/>
      <c r="E832" s="1"/>
      <c r="F832" s="35"/>
      <c r="G832" s="35"/>
    </row>
    <row r="833" ht="12.0" customHeight="1">
      <c r="A833" s="36"/>
      <c r="B833" s="36"/>
      <c r="C833" s="36"/>
      <c r="D833" s="36"/>
      <c r="E833" s="1"/>
      <c r="F833" s="35"/>
      <c r="G833" s="35"/>
    </row>
    <row r="834" ht="12.0" customHeight="1">
      <c r="A834" s="36"/>
      <c r="B834" s="36"/>
      <c r="C834" s="36"/>
      <c r="D834" s="36"/>
      <c r="E834" s="1"/>
      <c r="F834" s="35"/>
      <c r="G834" s="35"/>
    </row>
    <row r="835" ht="12.0" customHeight="1">
      <c r="A835" s="36"/>
      <c r="B835" s="36"/>
      <c r="C835" s="36"/>
      <c r="D835" s="36"/>
      <c r="E835" s="1"/>
      <c r="F835" s="35"/>
      <c r="G835" s="35"/>
    </row>
    <row r="836" ht="12.0" customHeight="1">
      <c r="A836" s="36"/>
      <c r="B836" s="36"/>
      <c r="C836" s="36"/>
      <c r="D836" s="36"/>
      <c r="E836" s="1"/>
      <c r="F836" s="35"/>
      <c r="G836" s="35"/>
    </row>
    <row r="837" ht="12.0" customHeight="1">
      <c r="A837" s="36"/>
      <c r="B837" s="36"/>
      <c r="C837" s="36"/>
      <c r="D837" s="36"/>
      <c r="E837" s="1"/>
      <c r="F837" s="35"/>
      <c r="G837" s="35"/>
    </row>
    <row r="838" ht="12.0" customHeight="1">
      <c r="A838" s="36"/>
      <c r="B838" s="36"/>
      <c r="C838" s="36"/>
      <c r="D838" s="36"/>
      <c r="E838" s="1"/>
      <c r="F838" s="35"/>
      <c r="G838" s="35"/>
    </row>
    <row r="839" ht="12.0" customHeight="1">
      <c r="A839" s="36"/>
      <c r="B839" s="36"/>
      <c r="C839" s="36"/>
      <c r="D839" s="36"/>
      <c r="E839" s="1"/>
      <c r="F839" s="35"/>
      <c r="G839" s="35"/>
    </row>
    <row r="840" ht="12.0" customHeight="1">
      <c r="A840" s="36"/>
      <c r="B840" s="36"/>
      <c r="C840" s="36"/>
      <c r="D840" s="36"/>
      <c r="E840" s="1"/>
      <c r="F840" s="35"/>
      <c r="G840" s="35"/>
    </row>
    <row r="841" ht="12.0" customHeight="1">
      <c r="A841" s="36"/>
      <c r="B841" s="36"/>
      <c r="C841" s="36"/>
      <c r="D841" s="36"/>
      <c r="E841" s="1"/>
      <c r="F841" s="35"/>
      <c r="G841" s="35"/>
    </row>
    <row r="842" ht="12.0" customHeight="1">
      <c r="A842" s="36"/>
      <c r="B842" s="36"/>
      <c r="C842" s="36"/>
      <c r="D842" s="36"/>
      <c r="E842" s="1"/>
      <c r="F842" s="35"/>
      <c r="G842" s="35"/>
    </row>
    <row r="843" ht="12.0" customHeight="1">
      <c r="A843" s="36"/>
      <c r="B843" s="36"/>
      <c r="C843" s="36"/>
      <c r="D843" s="36"/>
      <c r="E843" s="1"/>
      <c r="F843" s="35"/>
      <c r="G843" s="35"/>
    </row>
    <row r="844" ht="12.0" customHeight="1">
      <c r="A844" s="36"/>
      <c r="B844" s="36"/>
      <c r="C844" s="36"/>
      <c r="D844" s="36"/>
      <c r="E844" s="1"/>
      <c r="F844" s="35"/>
      <c r="G844" s="35"/>
    </row>
    <row r="845" ht="12.0" customHeight="1">
      <c r="A845" s="36"/>
      <c r="B845" s="36"/>
      <c r="C845" s="36"/>
      <c r="D845" s="36"/>
      <c r="E845" s="1"/>
      <c r="F845" s="35"/>
      <c r="G845" s="35"/>
    </row>
    <row r="846" ht="12.0" customHeight="1">
      <c r="A846" s="36"/>
      <c r="B846" s="36"/>
      <c r="C846" s="36"/>
      <c r="D846" s="36"/>
      <c r="E846" s="1"/>
      <c r="F846" s="35"/>
      <c r="G846" s="35"/>
    </row>
    <row r="847" ht="12.0" customHeight="1">
      <c r="A847" s="36"/>
      <c r="B847" s="36"/>
      <c r="C847" s="36"/>
      <c r="D847" s="36"/>
      <c r="E847" s="1"/>
      <c r="F847" s="35"/>
      <c r="G847" s="35"/>
    </row>
    <row r="848" ht="12.0" customHeight="1">
      <c r="A848" s="36"/>
      <c r="B848" s="36"/>
      <c r="C848" s="36"/>
      <c r="D848" s="36"/>
      <c r="E848" s="1"/>
      <c r="F848" s="35"/>
      <c r="G848" s="35"/>
    </row>
    <row r="849" ht="12.0" customHeight="1">
      <c r="A849" s="36"/>
      <c r="B849" s="36"/>
      <c r="C849" s="36"/>
      <c r="D849" s="36"/>
      <c r="E849" s="1"/>
      <c r="F849" s="35"/>
      <c r="G849" s="35"/>
    </row>
    <row r="850" ht="12.0" customHeight="1">
      <c r="A850" s="36"/>
      <c r="B850" s="36"/>
      <c r="C850" s="36"/>
      <c r="D850" s="36"/>
      <c r="E850" s="1"/>
      <c r="F850" s="35"/>
      <c r="G850" s="35"/>
    </row>
    <row r="851" ht="12.0" customHeight="1">
      <c r="A851" s="36"/>
      <c r="B851" s="36"/>
      <c r="C851" s="36"/>
      <c r="D851" s="36"/>
      <c r="E851" s="1"/>
      <c r="F851" s="35"/>
      <c r="G851" s="35"/>
    </row>
    <row r="852" ht="12.0" customHeight="1">
      <c r="A852" s="36"/>
      <c r="B852" s="36"/>
      <c r="C852" s="36"/>
      <c r="D852" s="36"/>
      <c r="E852" s="1"/>
      <c r="F852" s="35"/>
      <c r="G852" s="35"/>
    </row>
    <row r="853" ht="12.0" customHeight="1">
      <c r="A853" s="36"/>
      <c r="B853" s="36"/>
      <c r="C853" s="36"/>
      <c r="D853" s="36"/>
      <c r="E853" s="1"/>
      <c r="F853" s="35"/>
      <c r="G853" s="35"/>
    </row>
    <row r="854" ht="12.0" customHeight="1">
      <c r="A854" s="36"/>
      <c r="B854" s="36"/>
      <c r="C854" s="36"/>
      <c r="D854" s="36"/>
      <c r="E854" s="1"/>
      <c r="F854" s="35"/>
      <c r="G854" s="35"/>
    </row>
    <row r="855" ht="12.0" customHeight="1">
      <c r="A855" s="36"/>
      <c r="B855" s="36"/>
      <c r="C855" s="36"/>
      <c r="D855" s="36"/>
      <c r="E855" s="1"/>
      <c r="F855" s="35"/>
      <c r="G855" s="35"/>
    </row>
    <row r="856" ht="12.0" customHeight="1">
      <c r="A856" s="36"/>
      <c r="B856" s="36"/>
      <c r="C856" s="36"/>
      <c r="D856" s="36"/>
      <c r="E856" s="1"/>
      <c r="F856" s="35"/>
      <c r="G856" s="35"/>
    </row>
    <row r="857" ht="12.0" customHeight="1">
      <c r="A857" s="36"/>
      <c r="B857" s="36"/>
      <c r="C857" s="36"/>
      <c r="D857" s="36"/>
      <c r="E857" s="1"/>
      <c r="F857" s="35"/>
      <c r="G857" s="35"/>
    </row>
    <row r="858" ht="12.0" customHeight="1">
      <c r="A858" s="36"/>
      <c r="B858" s="36"/>
      <c r="C858" s="36"/>
      <c r="D858" s="36"/>
      <c r="E858" s="1"/>
      <c r="F858" s="35"/>
      <c r="G858" s="35"/>
    </row>
    <row r="859" ht="12.0" customHeight="1">
      <c r="A859" s="36"/>
      <c r="B859" s="36"/>
      <c r="C859" s="36"/>
      <c r="D859" s="36"/>
      <c r="E859" s="1"/>
      <c r="F859" s="35"/>
      <c r="G859" s="35"/>
    </row>
    <row r="860" ht="12.0" customHeight="1">
      <c r="A860" s="36"/>
      <c r="B860" s="36"/>
      <c r="C860" s="36"/>
      <c r="D860" s="36"/>
      <c r="E860" s="1"/>
      <c r="F860" s="35"/>
      <c r="G860" s="35"/>
    </row>
    <row r="861" ht="12.0" customHeight="1">
      <c r="A861" s="36"/>
      <c r="B861" s="36"/>
      <c r="C861" s="36"/>
      <c r="D861" s="36"/>
      <c r="E861" s="1"/>
      <c r="F861" s="35"/>
      <c r="G861" s="35"/>
    </row>
    <row r="862" ht="12.0" customHeight="1">
      <c r="A862" s="36"/>
      <c r="B862" s="36"/>
      <c r="C862" s="36"/>
      <c r="D862" s="36"/>
      <c r="E862" s="1"/>
      <c r="F862" s="35"/>
      <c r="G862" s="35"/>
    </row>
    <row r="863" ht="12.0" customHeight="1">
      <c r="A863" s="36"/>
      <c r="B863" s="36"/>
      <c r="C863" s="36"/>
      <c r="D863" s="36"/>
      <c r="E863" s="1"/>
      <c r="F863" s="35"/>
      <c r="G863" s="35"/>
    </row>
    <row r="864" ht="12.0" customHeight="1">
      <c r="A864" s="36"/>
      <c r="B864" s="36"/>
      <c r="C864" s="36"/>
      <c r="D864" s="36"/>
      <c r="E864" s="1"/>
      <c r="F864" s="35"/>
      <c r="G864" s="35"/>
    </row>
    <row r="865" ht="12.0" customHeight="1">
      <c r="A865" s="36"/>
      <c r="B865" s="36"/>
      <c r="C865" s="36"/>
      <c r="D865" s="36"/>
      <c r="E865" s="1"/>
      <c r="F865" s="35"/>
      <c r="G865" s="35"/>
    </row>
    <row r="866" ht="12.0" customHeight="1">
      <c r="A866" s="36"/>
      <c r="B866" s="36"/>
      <c r="C866" s="36"/>
      <c r="D866" s="36"/>
      <c r="E866" s="1"/>
      <c r="F866" s="35"/>
      <c r="G866" s="35"/>
    </row>
    <row r="867" ht="12.0" customHeight="1">
      <c r="A867" s="36"/>
      <c r="B867" s="36"/>
      <c r="C867" s="36"/>
      <c r="D867" s="36"/>
      <c r="E867" s="1"/>
      <c r="F867" s="35"/>
      <c r="G867" s="35"/>
    </row>
    <row r="868" ht="12.0" customHeight="1">
      <c r="A868" s="36"/>
      <c r="B868" s="36"/>
      <c r="C868" s="36"/>
      <c r="D868" s="36"/>
      <c r="E868" s="1"/>
      <c r="F868" s="35"/>
      <c r="G868" s="35"/>
    </row>
    <row r="869" ht="12.0" customHeight="1">
      <c r="A869" s="36"/>
      <c r="B869" s="36"/>
      <c r="C869" s="36"/>
      <c r="D869" s="36"/>
      <c r="E869" s="1"/>
      <c r="F869" s="35"/>
      <c r="G869" s="35"/>
    </row>
    <row r="870" ht="12.0" customHeight="1">
      <c r="A870" s="36"/>
      <c r="B870" s="36"/>
      <c r="C870" s="36"/>
      <c r="D870" s="36"/>
      <c r="E870" s="1"/>
      <c r="F870" s="35"/>
      <c r="G870" s="35"/>
    </row>
    <row r="871" ht="12.0" customHeight="1">
      <c r="A871" s="36"/>
      <c r="B871" s="36"/>
      <c r="C871" s="36"/>
      <c r="D871" s="36"/>
      <c r="E871" s="1"/>
      <c r="F871" s="35"/>
      <c r="G871" s="35"/>
    </row>
    <row r="872" ht="12.0" customHeight="1">
      <c r="A872" s="36"/>
      <c r="B872" s="36"/>
      <c r="C872" s="36"/>
      <c r="D872" s="36"/>
      <c r="E872" s="1"/>
      <c r="F872" s="35"/>
      <c r="G872" s="35"/>
    </row>
    <row r="873" ht="12.0" customHeight="1">
      <c r="A873" s="36"/>
      <c r="B873" s="36"/>
      <c r="C873" s="36"/>
      <c r="D873" s="36"/>
      <c r="E873" s="1"/>
      <c r="F873" s="35"/>
      <c r="G873" s="35"/>
    </row>
    <row r="874" ht="12.0" customHeight="1">
      <c r="A874" s="36"/>
      <c r="B874" s="36"/>
      <c r="C874" s="36"/>
      <c r="D874" s="36"/>
      <c r="E874" s="1"/>
      <c r="F874" s="35"/>
      <c r="G874" s="35"/>
    </row>
    <row r="875" ht="12.0" customHeight="1">
      <c r="A875" s="36"/>
      <c r="B875" s="36"/>
      <c r="C875" s="36"/>
      <c r="D875" s="36"/>
      <c r="E875" s="1"/>
      <c r="F875" s="35"/>
      <c r="G875" s="35"/>
    </row>
    <row r="876" ht="12.0" customHeight="1">
      <c r="A876" s="36"/>
      <c r="B876" s="36"/>
      <c r="C876" s="36"/>
      <c r="D876" s="36"/>
      <c r="E876" s="1"/>
      <c r="F876" s="35"/>
      <c r="G876" s="35"/>
    </row>
    <row r="877" ht="12.0" customHeight="1">
      <c r="A877" s="36"/>
      <c r="B877" s="36"/>
      <c r="C877" s="36"/>
      <c r="D877" s="36"/>
      <c r="E877" s="1"/>
      <c r="F877" s="35"/>
      <c r="G877" s="35"/>
    </row>
    <row r="878" ht="12.0" customHeight="1">
      <c r="A878" s="36"/>
      <c r="B878" s="36"/>
      <c r="C878" s="36"/>
      <c r="D878" s="36"/>
      <c r="E878" s="1"/>
      <c r="F878" s="35"/>
      <c r="G878" s="35"/>
    </row>
    <row r="879" ht="12.0" customHeight="1">
      <c r="A879" s="36"/>
      <c r="B879" s="36"/>
      <c r="C879" s="36"/>
      <c r="D879" s="36"/>
      <c r="E879" s="1"/>
      <c r="F879" s="35"/>
      <c r="G879" s="35"/>
    </row>
    <row r="880" ht="12.0" customHeight="1">
      <c r="A880" s="36"/>
      <c r="B880" s="36"/>
      <c r="C880" s="36"/>
      <c r="D880" s="36"/>
      <c r="E880" s="1"/>
      <c r="F880" s="35"/>
      <c r="G880" s="35"/>
    </row>
    <row r="881" ht="12.0" customHeight="1">
      <c r="A881" s="36"/>
      <c r="B881" s="36"/>
      <c r="C881" s="36"/>
      <c r="D881" s="36"/>
      <c r="E881" s="1"/>
      <c r="F881" s="35"/>
      <c r="G881" s="35"/>
    </row>
    <row r="882" ht="12.0" customHeight="1">
      <c r="A882" s="36"/>
      <c r="B882" s="36"/>
      <c r="C882" s="36"/>
      <c r="D882" s="36"/>
      <c r="E882" s="1"/>
      <c r="F882" s="35"/>
      <c r="G882" s="35"/>
    </row>
    <row r="883" ht="12.0" customHeight="1">
      <c r="A883" s="36"/>
      <c r="B883" s="36"/>
      <c r="C883" s="36"/>
      <c r="D883" s="36"/>
      <c r="E883" s="1"/>
      <c r="F883" s="35"/>
      <c r="G883" s="35"/>
    </row>
    <row r="884" ht="12.0" customHeight="1">
      <c r="A884" s="36"/>
      <c r="B884" s="36"/>
      <c r="C884" s="36"/>
      <c r="D884" s="36"/>
      <c r="E884" s="1"/>
      <c r="F884" s="35"/>
      <c r="G884" s="35"/>
    </row>
    <row r="885" ht="12.0" customHeight="1">
      <c r="A885" s="36"/>
      <c r="B885" s="36"/>
      <c r="C885" s="36"/>
      <c r="D885" s="36"/>
      <c r="E885" s="1"/>
      <c r="F885" s="35"/>
      <c r="G885" s="35"/>
    </row>
    <row r="886" ht="12.0" customHeight="1">
      <c r="A886" s="36"/>
      <c r="B886" s="36"/>
      <c r="C886" s="36"/>
      <c r="D886" s="36"/>
      <c r="E886" s="1"/>
      <c r="F886" s="35"/>
      <c r="G886" s="35"/>
    </row>
    <row r="887" ht="12.0" customHeight="1">
      <c r="A887" s="36"/>
      <c r="B887" s="36"/>
      <c r="C887" s="36"/>
      <c r="D887" s="36"/>
      <c r="E887" s="1"/>
      <c r="F887" s="35"/>
      <c r="G887" s="35"/>
    </row>
    <row r="888" ht="12.0" customHeight="1">
      <c r="A888" s="36"/>
      <c r="B888" s="36"/>
      <c r="C888" s="36"/>
      <c r="D888" s="36"/>
      <c r="E888" s="1"/>
      <c r="F888" s="35"/>
      <c r="G888" s="35"/>
    </row>
    <row r="889" ht="12.0" customHeight="1">
      <c r="A889" s="36"/>
      <c r="B889" s="36"/>
      <c r="C889" s="36"/>
      <c r="D889" s="36"/>
      <c r="E889" s="1"/>
      <c r="F889" s="35"/>
      <c r="G889" s="35"/>
    </row>
    <row r="890" ht="12.0" customHeight="1">
      <c r="A890" s="36"/>
      <c r="B890" s="36"/>
      <c r="C890" s="36"/>
      <c r="D890" s="36"/>
      <c r="E890" s="1"/>
      <c r="F890" s="35"/>
      <c r="G890" s="35"/>
    </row>
    <row r="891" ht="12.0" customHeight="1">
      <c r="A891" s="36"/>
      <c r="B891" s="36"/>
      <c r="C891" s="36"/>
      <c r="D891" s="36"/>
      <c r="E891" s="1"/>
      <c r="F891" s="35"/>
      <c r="G891" s="35"/>
    </row>
    <row r="892" ht="12.0" customHeight="1">
      <c r="A892" s="36"/>
      <c r="B892" s="36"/>
      <c r="C892" s="36"/>
      <c r="D892" s="36"/>
      <c r="E892" s="1"/>
      <c r="F892" s="35"/>
      <c r="G892" s="35"/>
    </row>
    <row r="893" ht="12.0" customHeight="1">
      <c r="A893" s="36"/>
      <c r="B893" s="36"/>
      <c r="C893" s="36"/>
      <c r="D893" s="36"/>
      <c r="E893" s="1"/>
      <c r="F893" s="35"/>
      <c r="G893" s="35"/>
    </row>
    <row r="894" ht="12.0" customHeight="1">
      <c r="A894" s="36"/>
      <c r="B894" s="36"/>
      <c r="C894" s="36"/>
      <c r="D894" s="36"/>
      <c r="E894" s="1"/>
      <c r="F894" s="35"/>
      <c r="G894" s="35"/>
    </row>
    <row r="895" ht="12.0" customHeight="1">
      <c r="A895" s="36"/>
      <c r="B895" s="36"/>
      <c r="C895" s="36"/>
      <c r="D895" s="36"/>
      <c r="E895" s="1"/>
      <c r="F895" s="35"/>
      <c r="G895" s="35"/>
    </row>
    <row r="896" ht="12.0" customHeight="1">
      <c r="A896" s="36"/>
      <c r="B896" s="36"/>
      <c r="C896" s="36"/>
      <c r="D896" s="36"/>
      <c r="E896" s="1"/>
      <c r="F896" s="35"/>
      <c r="G896" s="35"/>
    </row>
    <row r="897" ht="12.0" customHeight="1">
      <c r="A897" s="36"/>
      <c r="B897" s="36"/>
      <c r="C897" s="36"/>
      <c r="D897" s="36"/>
      <c r="E897" s="1"/>
      <c r="F897" s="35"/>
      <c r="G897" s="35"/>
    </row>
    <row r="898" ht="12.0" customHeight="1">
      <c r="A898" s="36"/>
      <c r="B898" s="36"/>
      <c r="C898" s="36"/>
      <c r="D898" s="36"/>
      <c r="E898" s="1"/>
      <c r="F898" s="35"/>
      <c r="G898" s="35"/>
    </row>
    <row r="899" ht="12.0" customHeight="1">
      <c r="A899" s="36"/>
      <c r="B899" s="36"/>
      <c r="C899" s="36"/>
      <c r="D899" s="36"/>
      <c r="E899" s="1"/>
      <c r="F899" s="35"/>
      <c r="G899" s="35"/>
    </row>
    <row r="900" ht="12.0" customHeight="1">
      <c r="A900" s="36"/>
      <c r="B900" s="36"/>
      <c r="C900" s="36"/>
      <c r="D900" s="36"/>
      <c r="E900" s="1"/>
      <c r="F900" s="35"/>
      <c r="G900" s="35"/>
    </row>
    <row r="901" ht="12.0" customHeight="1">
      <c r="A901" s="36"/>
      <c r="B901" s="36"/>
      <c r="C901" s="36"/>
      <c r="D901" s="36"/>
      <c r="E901" s="1"/>
      <c r="F901" s="35"/>
      <c r="G901" s="35"/>
    </row>
    <row r="902" ht="12.0" customHeight="1">
      <c r="A902" s="36"/>
      <c r="B902" s="36"/>
      <c r="C902" s="36"/>
      <c r="D902" s="36"/>
      <c r="E902" s="1"/>
      <c r="F902" s="35"/>
      <c r="G902" s="35"/>
    </row>
    <row r="903" ht="12.0" customHeight="1">
      <c r="A903" s="36"/>
      <c r="B903" s="36"/>
      <c r="C903" s="36"/>
      <c r="D903" s="36"/>
      <c r="E903" s="1"/>
      <c r="F903" s="35"/>
      <c r="G903" s="35"/>
    </row>
    <row r="904" ht="12.0" customHeight="1">
      <c r="A904" s="36"/>
      <c r="B904" s="36"/>
      <c r="C904" s="36"/>
      <c r="D904" s="36"/>
      <c r="E904" s="1"/>
      <c r="F904" s="35"/>
      <c r="G904" s="35"/>
    </row>
    <row r="905" ht="12.0" customHeight="1">
      <c r="A905" s="36"/>
      <c r="B905" s="36"/>
      <c r="C905" s="36"/>
      <c r="D905" s="36"/>
      <c r="E905" s="1"/>
      <c r="F905" s="35"/>
      <c r="G905" s="35"/>
    </row>
    <row r="906" ht="12.0" customHeight="1">
      <c r="A906" s="36"/>
      <c r="B906" s="36"/>
      <c r="C906" s="36"/>
      <c r="D906" s="36"/>
      <c r="E906" s="1"/>
      <c r="F906" s="35"/>
      <c r="G906" s="35"/>
    </row>
    <row r="907" ht="12.0" customHeight="1">
      <c r="A907" s="36"/>
      <c r="B907" s="36"/>
      <c r="C907" s="36"/>
      <c r="D907" s="36"/>
      <c r="E907" s="1"/>
      <c r="F907" s="35"/>
      <c r="G907" s="35"/>
    </row>
    <row r="908" ht="12.0" customHeight="1">
      <c r="A908" s="36"/>
      <c r="B908" s="36"/>
      <c r="C908" s="36"/>
      <c r="D908" s="36"/>
      <c r="E908" s="1"/>
      <c r="F908" s="35"/>
      <c r="G908" s="35"/>
    </row>
    <row r="909" ht="12.0" customHeight="1">
      <c r="A909" s="36"/>
      <c r="B909" s="36"/>
      <c r="C909" s="36"/>
      <c r="D909" s="36"/>
      <c r="E909" s="1"/>
      <c r="F909" s="35"/>
      <c r="G909" s="35"/>
    </row>
    <row r="910" ht="12.0" customHeight="1">
      <c r="A910" s="36"/>
      <c r="B910" s="36"/>
      <c r="C910" s="36"/>
      <c r="D910" s="36"/>
      <c r="E910" s="1"/>
      <c r="F910" s="35"/>
      <c r="G910" s="35"/>
    </row>
    <row r="911" ht="12.0" customHeight="1">
      <c r="A911" s="36"/>
      <c r="B911" s="36"/>
      <c r="C911" s="36"/>
      <c r="D911" s="36"/>
      <c r="E911" s="1"/>
      <c r="F911" s="35"/>
      <c r="G911" s="35"/>
    </row>
    <row r="912" ht="12.0" customHeight="1">
      <c r="A912" s="36"/>
      <c r="B912" s="36"/>
      <c r="C912" s="36"/>
      <c r="D912" s="36"/>
      <c r="E912" s="1"/>
      <c r="F912" s="35"/>
      <c r="G912" s="35"/>
    </row>
    <row r="913" ht="12.0" customHeight="1">
      <c r="A913" s="36"/>
      <c r="B913" s="36"/>
      <c r="C913" s="36"/>
      <c r="D913" s="36"/>
      <c r="E913" s="1"/>
      <c r="F913" s="35"/>
      <c r="G913" s="35"/>
    </row>
    <row r="914" ht="12.0" customHeight="1">
      <c r="A914" s="36"/>
      <c r="B914" s="36"/>
      <c r="C914" s="36"/>
      <c r="D914" s="36"/>
      <c r="E914" s="1"/>
      <c r="F914" s="35"/>
      <c r="G914" s="35"/>
    </row>
    <row r="915" ht="12.0" customHeight="1">
      <c r="A915" s="36"/>
      <c r="B915" s="36"/>
      <c r="C915" s="36"/>
      <c r="D915" s="36"/>
      <c r="E915" s="1"/>
      <c r="F915" s="35"/>
      <c r="G915" s="35"/>
    </row>
    <row r="916" ht="12.0" customHeight="1">
      <c r="A916" s="36"/>
      <c r="B916" s="36"/>
      <c r="C916" s="36"/>
      <c r="D916" s="36"/>
      <c r="E916" s="1"/>
      <c r="F916" s="35"/>
      <c r="G916" s="35"/>
    </row>
    <row r="917" ht="12.0" customHeight="1">
      <c r="A917" s="36"/>
      <c r="B917" s="36"/>
      <c r="C917" s="36"/>
      <c r="D917" s="36"/>
      <c r="E917" s="1"/>
      <c r="F917" s="35"/>
      <c r="G917" s="35"/>
    </row>
    <row r="918" ht="12.0" customHeight="1">
      <c r="A918" s="36"/>
      <c r="B918" s="36"/>
      <c r="C918" s="36"/>
      <c r="D918" s="36"/>
      <c r="E918" s="1"/>
      <c r="F918" s="35"/>
      <c r="G918" s="35"/>
    </row>
    <row r="919" ht="12.0" customHeight="1">
      <c r="A919" s="36"/>
      <c r="B919" s="36"/>
      <c r="C919" s="36"/>
      <c r="D919" s="36"/>
      <c r="E919" s="1"/>
      <c r="F919" s="35"/>
      <c r="G919" s="35"/>
    </row>
    <row r="920" ht="12.0" customHeight="1">
      <c r="A920" s="36"/>
      <c r="B920" s="36"/>
      <c r="C920" s="36"/>
      <c r="D920" s="36"/>
      <c r="E920" s="1"/>
      <c r="F920" s="35"/>
      <c r="G920" s="35"/>
    </row>
    <row r="921" ht="12.0" customHeight="1">
      <c r="A921" s="36"/>
      <c r="B921" s="36"/>
      <c r="C921" s="36"/>
      <c r="D921" s="36"/>
      <c r="E921" s="1"/>
      <c r="F921" s="35"/>
      <c r="G921" s="35"/>
    </row>
    <row r="922" ht="12.0" customHeight="1">
      <c r="A922" s="36"/>
      <c r="B922" s="36"/>
      <c r="C922" s="36"/>
      <c r="D922" s="36"/>
      <c r="E922" s="1"/>
      <c r="F922" s="35"/>
      <c r="G922" s="35"/>
    </row>
    <row r="923" ht="12.0" customHeight="1">
      <c r="A923" s="36"/>
      <c r="B923" s="36"/>
      <c r="C923" s="36"/>
      <c r="D923" s="36"/>
      <c r="E923" s="1"/>
      <c r="F923" s="35"/>
      <c r="G923" s="35"/>
    </row>
    <row r="924" ht="12.0" customHeight="1">
      <c r="A924" s="36"/>
      <c r="B924" s="36"/>
      <c r="C924" s="36"/>
      <c r="D924" s="36"/>
      <c r="E924" s="1"/>
      <c r="F924" s="35"/>
      <c r="G924" s="35"/>
    </row>
    <row r="925" ht="12.0" customHeight="1">
      <c r="A925" s="36"/>
      <c r="B925" s="36"/>
      <c r="C925" s="36"/>
      <c r="D925" s="36"/>
      <c r="E925" s="1"/>
      <c r="F925" s="35"/>
      <c r="G925" s="35"/>
    </row>
    <row r="926" ht="12.0" customHeight="1">
      <c r="A926" s="36"/>
      <c r="B926" s="36"/>
      <c r="C926" s="36"/>
      <c r="D926" s="36"/>
      <c r="E926" s="1"/>
      <c r="F926" s="35"/>
      <c r="G926" s="35"/>
    </row>
    <row r="927" ht="12.0" customHeight="1">
      <c r="A927" s="36"/>
      <c r="B927" s="36"/>
      <c r="C927" s="36"/>
      <c r="D927" s="36"/>
      <c r="E927" s="1"/>
      <c r="F927" s="35"/>
      <c r="G927" s="35"/>
    </row>
    <row r="928" ht="12.0" customHeight="1">
      <c r="A928" s="36"/>
      <c r="B928" s="36"/>
      <c r="C928" s="36"/>
      <c r="D928" s="36"/>
      <c r="E928" s="1"/>
      <c r="F928" s="35"/>
      <c r="G928" s="35"/>
    </row>
    <row r="929" ht="12.0" customHeight="1">
      <c r="A929" s="36"/>
      <c r="B929" s="36"/>
      <c r="C929" s="36"/>
      <c r="D929" s="36"/>
      <c r="E929" s="1"/>
      <c r="F929" s="35"/>
      <c r="G929" s="35"/>
    </row>
    <row r="930" ht="12.0" customHeight="1">
      <c r="A930" s="36"/>
      <c r="B930" s="36"/>
      <c r="C930" s="36"/>
      <c r="D930" s="36"/>
      <c r="E930" s="1"/>
      <c r="F930" s="35"/>
      <c r="G930" s="35"/>
    </row>
    <row r="931" ht="12.0" customHeight="1">
      <c r="A931" s="36"/>
      <c r="B931" s="36"/>
      <c r="C931" s="36"/>
      <c r="D931" s="36"/>
      <c r="E931" s="1"/>
      <c r="F931" s="35"/>
      <c r="G931" s="35"/>
    </row>
    <row r="932" ht="12.0" customHeight="1">
      <c r="A932" s="36"/>
      <c r="B932" s="36"/>
      <c r="C932" s="36"/>
      <c r="D932" s="36"/>
      <c r="E932" s="1"/>
      <c r="F932" s="35"/>
      <c r="G932" s="35"/>
    </row>
    <row r="933" ht="12.0" customHeight="1">
      <c r="A933" s="36"/>
      <c r="B933" s="36"/>
      <c r="C933" s="36"/>
      <c r="D933" s="36"/>
      <c r="E933" s="1"/>
      <c r="F933" s="35"/>
      <c r="G933" s="35"/>
    </row>
    <row r="934" ht="12.0" customHeight="1">
      <c r="A934" s="36"/>
      <c r="B934" s="36"/>
      <c r="C934" s="36"/>
      <c r="D934" s="36"/>
      <c r="E934" s="1"/>
      <c r="F934" s="35"/>
      <c r="G934" s="35"/>
    </row>
    <row r="935" ht="12.0" customHeight="1">
      <c r="A935" s="36"/>
      <c r="B935" s="36"/>
      <c r="C935" s="36"/>
      <c r="D935" s="36"/>
      <c r="E935" s="1"/>
      <c r="F935" s="35"/>
      <c r="G935" s="35"/>
    </row>
    <row r="936" ht="12.0" customHeight="1">
      <c r="A936" s="36"/>
      <c r="B936" s="36"/>
      <c r="C936" s="36"/>
      <c r="D936" s="36"/>
      <c r="E936" s="1"/>
      <c r="F936" s="35"/>
      <c r="G936" s="35"/>
    </row>
    <row r="937" ht="12.0" customHeight="1">
      <c r="A937" s="36"/>
      <c r="B937" s="36"/>
      <c r="C937" s="36"/>
      <c r="D937" s="36"/>
      <c r="E937" s="1"/>
      <c r="F937" s="35"/>
      <c r="G937" s="35"/>
    </row>
    <row r="938" ht="12.0" customHeight="1">
      <c r="A938" s="36"/>
      <c r="B938" s="36"/>
      <c r="C938" s="36"/>
      <c r="D938" s="36"/>
      <c r="E938" s="1"/>
      <c r="F938" s="35"/>
      <c r="G938" s="35"/>
    </row>
    <row r="939" ht="12.0" customHeight="1">
      <c r="A939" s="36"/>
      <c r="B939" s="36"/>
      <c r="C939" s="36"/>
      <c r="D939" s="36"/>
      <c r="E939" s="1"/>
      <c r="F939" s="35"/>
      <c r="G939" s="35"/>
    </row>
    <row r="940" ht="12.0" customHeight="1">
      <c r="A940" s="36"/>
      <c r="B940" s="36"/>
      <c r="C940" s="36"/>
      <c r="D940" s="36"/>
      <c r="E940" s="1"/>
      <c r="F940" s="35"/>
      <c r="G940" s="35"/>
    </row>
    <row r="941" ht="12.0" customHeight="1">
      <c r="A941" s="36"/>
      <c r="B941" s="36"/>
      <c r="C941" s="36"/>
      <c r="D941" s="36"/>
      <c r="E941" s="1"/>
      <c r="F941" s="35"/>
      <c r="G941" s="35"/>
    </row>
    <row r="942" ht="12.0" customHeight="1">
      <c r="A942" s="36"/>
      <c r="B942" s="36"/>
      <c r="C942" s="36"/>
      <c r="D942" s="36"/>
      <c r="E942" s="1"/>
      <c r="F942" s="35"/>
      <c r="G942" s="35"/>
    </row>
    <row r="943" ht="12.0" customHeight="1">
      <c r="A943" s="36"/>
      <c r="B943" s="36"/>
      <c r="C943" s="36"/>
      <c r="D943" s="36"/>
      <c r="E943" s="1"/>
      <c r="F943" s="35"/>
      <c r="G943" s="35"/>
    </row>
    <row r="944" ht="12.0" customHeight="1">
      <c r="A944" s="36"/>
      <c r="B944" s="36"/>
      <c r="C944" s="36"/>
      <c r="D944" s="36"/>
      <c r="E944" s="1"/>
      <c r="F944" s="35"/>
      <c r="G944" s="35"/>
    </row>
    <row r="945" ht="12.0" customHeight="1">
      <c r="A945" s="36"/>
      <c r="B945" s="36"/>
      <c r="C945" s="36"/>
      <c r="D945" s="36"/>
      <c r="E945" s="1"/>
      <c r="F945" s="35"/>
      <c r="G945" s="35"/>
    </row>
    <row r="946" ht="12.0" customHeight="1">
      <c r="A946" s="36"/>
      <c r="B946" s="36"/>
      <c r="C946" s="36"/>
      <c r="D946" s="36"/>
      <c r="E946" s="1"/>
      <c r="F946" s="35"/>
      <c r="G946" s="35"/>
    </row>
    <row r="947" ht="12.0" customHeight="1">
      <c r="A947" s="36"/>
      <c r="B947" s="36"/>
      <c r="C947" s="36"/>
      <c r="D947" s="36"/>
      <c r="E947" s="1"/>
      <c r="F947" s="35"/>
      <c r="G947" s="35"/>
    </row>
    <row r="948" ht="12.0" customHeight="1">
      <c r="A948" s="36"/>
      <c r="B948" s="36"/>
      <c r="C948" s="36"/>
      <c r="D948" s="36"/>
      <c r="E948" s="1"/>
      <c r="F948" s="35"/>
      <c r="G948" s="35"/>
    </row>
    <row r="949" ht="12.0" customHeight="1">
      <c r="A949" s="36"/>
      <c r="B949" s="36"/>
      <c r="C949" s="36"/>
      <c r="D949" s="36"/>
      <c r="E949" s="1"/>
      <c r="F949" s="35"/>
      <c r="G949" s="35"/>
    </row>
    <row r="950" ht="12.0" customHeight="1">
      <c r="A950" s="36"/>
      <c r="B950" s="36"/>
      <c r="C950" s="36"/>
      <c r="D950" s="36"/>
      <c r="E950" s="1"/>
      <c r="F950" s="35"/>
      <c r="G950" s="35"/>
    </row>
    <row r="951" ht="12.0" customHeight="1">
      <c r="A951" s="36"/>
      <c r="B951" s="36"/>
      <c r="C951" s="36"/>
      <c r="D951" s="36"/>
      <c r="E951" s="1"/>
      <c r="F951" s="35"/>
      <c r="G951" s="35"/>
    </row>
    <row r="952" ht="12.0" customHeight="1">
      <c r="A952" s="36"/>
      <c r="B952" s="36"/>
      <c r="C952" s="36"/>
      <c r="D952" s="36"/>
      <c r="E952" s="1"/>
      <c r="F952" s="35"/>
      <c r="G952" s="35"/>
    </row>
    <row r="953" ht="12.0" customHeight="1">
      <c r="A953" s="36"/>
      <c r="B953" s="36"/>
      <c r="C953" s="36"/>
      <c r="D953" s="36"/>
      <c r="E953" s="1"/>
      <c r="F953" s="35"/>
      <c r="G953" s="35"/>
    </row>
    <row r="954" ht="12.0" customHeight="1">
      <c r="A954" s="36"/>
      <c r="B954" s="36"/>
      <c r="C954" s="36"/>
      <c r="D954" s="36"/>
      <c r="E954" s="1"/>
      <c r="F954" s="35"/>
      <c r="G954" s="35"/>
    </row>
    <row r="955" ht="12.0" customHeight="1">
      <c r="A955" s="36"/>
      <c r="B955" s="36"/>
      <c r="C955" s="36"/>
      <c r="D955" s="36"/>
      <c r="E955" s="1"/>
      <c r="F955" s="35"/>
      <c r="G955" s="35"/>
    </row>
    <row r="956" ht="12.0" customHeight="1">
      <c r="A956" s="36"/>
      <c r="B956" s="36"/>
      <c r="C956" s="36"/>
      <c r="D956" s="36"/>
      <c r="E956" s="1"/>
      <c r="F956" s="35"/>
      <c r="G956" s="35"/>
    </row>
    <row r="957" ht="12.0" customHeight="1">
      <c r="A957" s="36"/>
      <c r="B957" s="36"/>
      <c r="C957" s="36"/>
      <c r="D957" s="36"/>
      <c r="E957" s="1"/>
      <c r="F957" s="35"/>
      <c r="G957" s="35"/>
    </row>
    <row r="958" ht="12.0" customHeight="1">
      <c r="A958" s="36"/>
      <c r="B958" s="36"/>
      <c r="C958" s="36"/>
      <c r="D958" s="36"/>
      <c r="E958" s="1"/>
      <c r="F958" s="35"/>
      <c r="G958" s="35"/>
    </row>
    <row r="959" ht="12.0" customHeight="1">
      <c r="A959" s="36"/>
      <c r="B959" s="36"/>
      <c r="C959" s="36"/>
      <c r="D959" s="36"/>
      <c r="E959" s="1"/>
      <c r="F959" s="35"/>
      <c r="G959" s="35"/>
    </row>
    <row r="960" ht="12.0" customHeight="1">
      <c r="A960" s="36"/>
      <c r="B960" s="36"/>
      <c r="C960" s="36"/>
      <c r="D960" s="36"/>
      <c r="E960" s="1"/>
      <c r="F960" s="35"/>
      <c r="G960" s="35"/>
    </row>
    <row r="961" ht="12.0" customHeight="1">
      <c r="A961" s="36"/>
      <c r="B961" s="36"/>
      <c r="C961" s="36"/>
      <c r="D961" s="36"/>
      <c r="E961" s="1"/>
      <c r="F961" s="35"/>
      <c r="G961" s="35"/>
    </row>
    <row r="962" ht="12.0" customHeight="1">
      <c r="A962" s="36"/>
      <c r="B962" s="36"/>
      <c r="C962" s="36"/>
      <c r="D962" s="36"/>
      <c r="E962" s="1"/>
      <c r="F962" s="35"/>
      <c r="G962" s="35"/>
    </row>
    <row r="963" ht="12.0" customHeight="1">
      <c r="A963" s="36"/>
      <c r="B963" s="36"/>
      <c r="C963" s="36"/>
      <c r="D963" s="36"/>
      <c r="E963" s="1"/>
      <c r="F963" s="35"/>
      <c r="G963" s="35"/>
    </row>
    <row r="964" ht="12.0" customHeight="1">
      <c r="A964" s="36"/>
      <c r="B964" s="36"/>
      <c r="C964" s="36"/>
      <c r="D964" s="36"/>
      <c r="E964" s="1"/>
      <c r="F964" s="35"/>
      <c r="G964" s="35"/>
    </row>
    <row r="965" ht="12.0" customHeight="1">
      <c r="A965" s="36"/>
      <c r="B965" s="36"/>
      <c r="C965" s="36"/>
      <c r="D965" s="36"/>
      <c r="E965" s="1"/>
      <c r="F965" s="35"/>
      <c r="G965" s="35"/>
    </row>
    <row r="966" ht="12.0" customHeight="1">
      <c r="A966" s="36"/>
      <c r="B966" s="36"/>
      <c r="C966" s="36"/>
      <c r="D966" s="36"/>
      <c r="E966" s="1"/>
      <c r="F966" s="35"/>
      <c r="G966" s="35"/>
    </row>
    <row r="967" ht="12.0" customHeight="1">
      <c r="A967" s="36"/>
      <c r="B967" s="36"/>
      <c r="C967" s="36"/>
      <c r="D967" s="36"/>
      <c r="E967" s="1"/>
      <c r="F967" s="35"/>
      <c r="G967" s="35"/>
    </row>
    <row r="968" ht="12.0" customHeight="1">
      <c r="A968" s="36"/>
      <c r="B968" s="36"/>
      <c r="C968" s="36"/>
      <c r="D968" s="36"/>
      <c r="E968" s="1"/>
      <c r="F968" s="35"/>
      <c r="G968" s="35"/>
    </row>
    <row r="969" ht="12.0" customHeight="1">
      <c r="A969" s="36"/>
      <c r="B969" s="36"/>
      <c r="C969" s="36"/>
      <c r="D969" s="36"/>
      <c r="E969" s="1"/>
      <c r="F969" s="35"/>
      <c r="G969" s="35"/>
    </row>
    <row r="970" ht="12.0" customHeight="1">
      <c r="A970" s="36"/>
      <c r="B970" s="36"/>
      <c r="C970" s="36"/>
      <c r="D970" s="36"/>
      <c r="E970" s="1"/>
      <c r="F970" s="35"/>
      <c r="G970" s="35"/>
    </row>
    <row r="971" ht="12.0" customHeight="1">
      <c r="A971" s="36"/>
      <c r="B971" s="36"/>
      <c r="C971" s="36"/>
      <c r="D971" s="36"/>
      <c r="E971" s="1"/>
      <c r="F971" s="35"/>
      <c r="G971" s="35"/>
    </row>
    <row r="972" ht="12.0" customHeight="1">
      <c r="A972" s="36"/>
      <c r="B972" s="36"/>
      <c r="C972" s="36"/>
      <c r="D972" s="36"/>
      <c r="E972" s="1"/>
      <c r="F972" s="35"/>
      <c r="G972" s="35"/>
    </row>
    <row r="973" ht="12.0" customHeight="1">
      <c r="A973" s="36"/>
      <c r="B973" s="36"/>
      <c r="C973" s="36"/>
      <c r="D973" s="36"/>
      <c r="E973" s="1"/>
      <c r="F973" s="35"/>
      <c r="G973" s="35"/>
    </row>
    <row r="974" ht="12.0" customHeight="1">
      <c r="A974" s="36"/>
      <c r="B974" s="36"/>
      <c r="C974" s="36"/>
      <c r="D974" s="36"/>
      <c r="E974" s="1"/>
      <c r="F974" s="35"/>
      <c r="G974" s="35"/>
    </row>
    <row r="975" ht="12.0" customHeight="1">
      <c r="A975" s="36"/>
      <c r="B975" s="36"/>
      <c r="C975" s="36"/>
      <c r="D975" s="36"/>
      <c r="E975" s="1"/>
      <c r="F975" s="35"/>
      <c r="G975" s="35"/>
    </row>
    <row r="976" ht="12.0" customHeight="1">
      <c r="A976" s="36"/>
      <c r="B976" s="36"/>
      <c r="C976" s="36"/>
      <c r="D976" s="36"/>
      <c r="E976" s="1"/>
      <c r="F976" s="35"/>
      <c r="G976" s="35"/>
    </row>
    <row r="977" ht="12.0" customHeight="1">
      <c r="A977" s="36"/>
      <c r="B977" s="36"/>
      <c r="C977" s="36"/>
      <c r="D977" s="36"/>
      <c r="E977" s="1"/>
      <c r="F977" s="35"/>
      <c r="G977" s="35"/>
    </row>
    <row r="978" ht="12.0" customHeight="1">
      <c r="A978" s="36"/>
      <c r="B978" s="36"/>
      <c r="C978" s="36"/>
      <c r="D978" s="36"/>
      <c r="E978" s="1"/>
      <c r="F978" s="35"/>
      <c r="G978" s="35"/>
    </row>
    <row r="979" ht="12.0" customHeight="1">
      <c r="A979" s="36"/>
      <c r="B979" s="36"/>
      <c r="C979" s="36"/>
      <c r="D979" s="36"/>
      <c r="E979" s="1"/>
      <c r="F979" s="35"/>
      <c r="G979" s="35"/>
    </row>
    <row r="980" ht="12.0" customHeight="1">
      <c r="A980" s="36"/>
      <c r="B980" s="36"/>
      <c r="C980" s="36"/>
      <c r="D980" s="36"/>
      <c r="E980" s="1"/>
      <c r="F980" s="35"/>
      <c r="G980" s="35"/>
    </row>
    <row r="981" ht="12.0" customHeight="1">
      <c r="A981" s="36"/>
      <c r="B981" s="36"/>
      <c r="C981" s="36"/>
      <c r="D981" s="36"/>
      <c r="E981" s="1"/>
      <c r="F981" s="35"/>
      <c r="G981" s="35"/>
    </row>
    <row r="982" ht="12.0" customHeight="1">
      <c r="A982" s="36"/>
      <c r="B982" s="36"/>
      <c r="C982" s="36"/>
      <c r="D982" s="36"/>
      <c r="E982" s="1"/>
      <c r="F982" s="35"/>
      <c r="G982" s="35"/>
    </row>
    <row r="983" ht="12.0" customHeight="1">
      <c r="A983" s="36"/>
      <c r="B983" s="36"/>
      <c r="C983" s="36"/>
      <c r="D983" s="36"/>
      <c r="E983" s="1"/>
      <c r="F983" s="35"/>
      <c r="G983" s="35"/>
    </row>
    <row r="984" ht="12.0" customHeight="1">
      <c r="A984" s="36"/>
      <c r="B984" s="36"/>
      <c r="C984" s="36"/>
      <c r="D984" s="36"/>
      <c r="E984" s="1"/>
      <c r="F984" s="35"/>
      <c r="G984" s="35"/>
    </row>
    <row r="985" ht="12.0" customHeight="1">
      <c r="A985" s="36"/>
      <c r="B985" s="36"/>
      <c r="C985" s="36"/>
      <c r="D985" s="36"/>
      <c r="E985" s="1"/>
      <c r="F985" s="35"/>
      <c r="G985" s="35"/>
    </row>
    <row r="986" ht="12.0" customHeight="1">
      <c r="A986" s="36"/>
      <c r="B986" s="36"/>
      <c r="C986" s="36"/>
      <c r="D986" s="36"/>
      <c r="E986" s="1"/>
      <c r="F986" s="35"/>
      <c r="G986" s="35"/>
    </row>
    <row r="987" ht="12.0" customHeight="1">
      <c r="A987" s="36"/>
      <c r="B987" s="36"/>
      <c r="C987" s="36"/>
      <c r="D987" s="36"/>
      <c r="E987" s="1"/>
      <c r="F987" s="35"/>
      <c r="G987" s="35"/>
    </row>
    <row r="988" ht="12.0" customHeight="1">
      <c r="A988" s="36"/>
      <c r="B988" s="36"/>
      <c r="C988" s="36"/>
      <c r="D988" s="36"/>
      <c r="E988" s="1"/>
      <c r="F988" s="35"/>
      <c r="G988" s="35"/>
    </row>
    <row r="989" ht="12.0" customHeight="1">
      <c r="A989" s="36"/>
      <c r="B989" s="36"/>
      <c r="C989" s="36"/>
      <c r="D989" s="36"/>
      <c r="E989" s="1"/>
      <c r="F989" s="35"/>
      <c r="G989" s="35"/>
    </row>
    <row r="990" ht="12.0" customHeight="1">
      <c r="A990" s="36"/>
      <c r="B990" s="36"/>
      <c r="C990" s="36"/>
      <c r="D990" s="36"/>
      <c r="E990" s="1"/>
      <c r="F990" s="35"/>
      <c r="G990" s="35"/>
    </row>
    <row r="991" ht="12.0" customHeight="1">
      <c r="A991" s="36"/>
      <c r="B991" s="36"/>
      <c r="C991" s="36"/>
      <c r="D991" s="36"/>
      <c r="E991" s="1"/>
      <c r="F991" s="35"/>
      <c r="G991" s="35"/>
    </row>
    <row r="992" ht="12.0" customHeight="1">
      <c r="A992" s="36"/>
      <c r="B992" s="36"/>
      <c r="C992" s="36"/>
      <c r="D992" s="36"/>
      <c r="E992" s="1"/>
      <c r="F992" s="35"/>
      <c r="G992" s="35"/>
    </row>
    <row r="993" ht="12.0" customHeight="1">
      <c r="A993" s="36"/>
      <c r="B993" s="36"/>
      <c r="C993" s="36"/>
      <c r="D993" s="36"/>
      <c r="E993" s="1"/>
      <c r="F993" s="35"/>
      <c r="G993" s="35"/>
    </row>
    <row r="994" ht="12.0" customHeight="1">
      <c r="A994" s="36"/>
      <c r="B994" s="36"/>
      <c r="C994" s="36"/>
      <c r="D994" s="36"/>
      <c r="E994" s="1"/>
      <c r="F994" s="35"/>
      <c r="G994" s="35"/>
    </row>
    <row r="995" ht="12.0" customHeight="1">
      <c r="A995" s="36"/>
      <c r="B995" s="36"/>
      <c r="C995" s="36"/>
      <c r="D995" s="36"/>
      <c r="E995" s="1"/>
      <c r="F995" s="35"/>
      <c r="G995" s="35"/>
    </row>
    <row r="996" ht="12.0" customHeight="1">
      <c r="A996" s="36"/>
      <c r="B996" s="36"/>
      <c r="C996" s="36"/>
      <c r="D996" s="36"/>
      <c r="E996" s="1"/>
      <c r="F996" s="35"/>
      <c r="G996" s="35"/>
    </row>
    <row r="997" ht="12.0" customHeight="1">
      <c r="A997" s="36"/>
      <c r="B997" s="36"/>
      <c r="C997" s="36"/>
      <c r="D997" s="36"/>
      <c r="E997" s="1"/>
      <c r="F997" s="35"/>
      <c r="G997" s="35"/>
    </row>
    <row r="998" ht="12.0" customHeight="1">
      <c r="A998" s="36"/>
      <c r="B998" s="36"/>
      <c r="C998" s="36"/>
      <c r="D998" s="36"/>
      <c r="E998" s="1"/>
      <c r="F998" s="35"/>
      <c r="G998" s="35"/>
    </row>
    <row r="999" ht="12.0" customHeight="1">
      <c r="A999" s="36"/>
      <c r="B999" s="36"/>
      <c r="C999" s="36"/>
      <c r="D999" s="36"/>
      <c r="E999" s="1"/>
      <c r="F999" s="35"/>
      <c r="G999" s="35"/>
    </row>
    <row r="1000" ht="12.0" customHeight="1">
      <c r="A1000" s="36"/>
      <c r="B1000" s="36"/>
      <c r="C1000" s="36"/>
      <c r="D1000" s="36"/>
      <c r="E1000" s="1"/>
      <c r="F1000" s="35"/>
      <c r="G1000" s="3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9" width="12.71"/>
    <col customWidth="1" min="10" max="10" width="15.43"/>
    <col customWidth="1" min="11" max="11" width="12.71"/>
    <col customWidth="1" min="12" max="12" width="10.43"/>
    <col customWidth="1" min="13" max="13" width="2.86"/>
    <col customWidth="1" min="14" max="14" width="18.29"/>
    <col customWidth="1" min="15" max="15" width="8.57"/>
    <col customWidth="1" min="16" max="26" width="12.71"/>
  </cols>
  <sheetData>
    <row r="1" ht="19.5" customHeight="1">
      <c r="A1" s="37" t="s">
        <v>3</v>
      </c>
      <c r="B1" s="38" t="str">
        <f>'長期'!B1</f>
        <v>終値</v>
      </c>
      <c r="C1" s="38" t="str">
        <f>'長期'!C1</f>
        <v>終値</v>
      </c>
      <c r="D1" s="39" t="str">
        <f>'長期'!D1</f>
        <v>サヤ</v>
      </c>
      <c r="S1" s="19" t="s">
        <v>3</v>
      </c>
      <c r="T1" s="19" t="s">
        <v>4</v>
      </c>
      <c r="U1" s="40" t="str">
        <f>'長期'!F1</f>
        <v>終値</v>
      </c>
      <c r="V1" s="40" t="str">
        <f>'長期'!G1</f>
        <v>終値</v>
      </c>
    </row>
    <row r="2" ht="18.0" customHeight="1">
      <c r="A2" s="41">
        <f>'長期'!A2</f>
        <v>45495</v>
      </c>
      <c r="B2" s="42">
        <f>'長期'!B2</f>
        <v>200</v>
      </c>
      <c r="C2" s="42">
        <f>'長期'!C2</f>
        <v>100</v>
      </c>
      <c r="D2" s="43">
        <f>'長期'!D2</f>
        <v>100</v>
      </c>
      <c r="S2" s="29">
        <f>A65</f>
        <v>45400</v>
      </c>
      <c r="T2" s="20">
        <f>D65</f>
        <v>138</v>
      </c>
      <c r="U2" s="20">
        <f t="shared" ref="U2:V2" si="1">B65</f>
        <v>166</v>
      </c>
      <c r="V2" s="20">
        <f t="shared" si="1"/>
        <v>28</v>
      </c>
    </row>
    <row r="3" ht="18.0" customHeight="1">
      <c r="A3" s="41">
        <f>'長期'!A3</f>
        <v>45492</v>
      </c>
      <c r="B3" s="42">
        <f>'長期'!B3</f>
        <v>196</v>
      </c>
      <c r="C3" s="42">
        <f>'長期'!C3</f>
        <v>145</v>
      </c>
      <c r="D3" s="43">
        <f>'長期'!D3</f>
        <v>51</v>
      </c>
      <c r="S3" s="29">
        <f>A64</f>
        <v>45401</v>
      </c>
      <c r="T3" s="20">
        <f>D64</f>
        <v>140</v>
      </c>
      <c r="U3" s="20">
        <f t="shared" ref="U3:V3" si="2">B64</f>
        <v>170</v>
      </c>
      <c r="V3" s="20">
        <f t="shared" si="2"/>
        <v>30</v>
      </c>
    </row>
    <row r="4" ht="18.0" customHeight="1">
      <c r="A4" s="41">
        <f>'長期'!A4</f>
        <v>45491</v>
      </c>
      <c r="B4" s="42">
        <f>'長期'!B4</f>
        <v>200</v>
      </c>
      <c r="C4" s="42">
        <f>'長期'!C4</f>
        <v>125</v>
      </c>
      <c r="D4" s="43">
        <f>'長期'!D4</f>
        <v>75</v>
      </c>
      <c r="N4" s="44" t="s">
        <v>13</v>
      </c>
      <c r="O4" s="45">
        <f>IF(ISERROR(CORREL(V2:V1301,U2:U1301)),"",CORREL(V2:V1301,U2:U1301))</f>
        <v>-0.0948111808</v>
      </c>
      <c r="S4" s="29">
        <f>A63</f>
        <v>45404</v>
      </c>
      <c r="T4" s="20">
        <f>D63</f>
        <v>135</v>
      </c>
      <c r="U4" s="20">
        <f t="shared" ref="U4:V4" si="3">B63</f>
        <v>166</v>
      </c>
      <c r="V4" s="20">
        <f t="shared" si="3"/>
        <v>31</v>
      </c>
    </row>
    <row r="5" ht="18.0" customHeight="1">
      <c r="A5" s="41">
        <f>'長期'!A5</f>
        <v>45490</v>
      </c>
      <c r="B5" s="42">
        <f>'長期'!B5</f>
        <v>204</v>
      </c>
      <c r="C5" s="42">
        <f>'長期'!C5</f>
        <v>129</v>
      </c>
      <c r="D5" s="43">
        <f>'長期'!D5</f>
        <v>75</v>
      </c>
      <c r="N5" s="44" t="s">
        <v>7</v>
      </c>
      <c r="O5" s="46">
        <f>IF(ISERROR(AVERAGE(T2:T1301)),"",AVERAGE(T2:T1301))</f>
        <v>154.015625</v>
      </c>
      <c r="S5" s="29">
        <f>A62</f>
        <v>45405</v>
      </c>
      <c r="T5" s="20">
        <f>D62</f>
        <v>134</v>
      </c>
      <c r="U5" s="20">
        <f t="shared" ref="U5:V5" si="4">B62</f>
        <v>168</v>
      </c>
      <c r="V5" s="20">
        <f t="shared" si="4"/>
        <v>34</v>
      </c>
    </row>
    <row r="6" ht="18.0" customHeight="1">
      <c r="A6" s="41">
        <f>'長期'!A6</f>
        <v>45489</v>
      </c>
      <c r="B6" s="42">
        <f>'長期'!B6</f>
        <v>203</v>
      </c>
      <c r="C6" s="42">
        <f>'長期'!C6</f>
        <v>102</v>
      </c>
      <c r="D6" s="43">
        <f>'長期'!D6</f>
        <v>101</v>
      </c>
      <c r="N6" s="44" t="s">
        <v>14</v>
      </c>
      <c r="O6" s="46">
        <f>IF(ISERROR(STDEV(T2:T1301)),"",STDEV(T2:T1301))</f>
        <v>44.96506305</v>
      </c>
      <c r="S6" s="29">
        <f>A61</f>
        <v>45406</v>
      </c>
      <c r="T6" s="20">
        <f>D61</f>
        <v>142</v>
      </c>
      <c r="U6" s="20">
        <f t="shared" ref="U6:V6" si="5">B61</f>
        <v>174</v>
      </c>
      <c r="V6" s="20">
        <f t="shared" si="5"/>
        <v>32</v>
      </c>
    </row>
    <row r="7" ht="18.0" customHeight="1">
      <c r="A7" s="41">
        <f>'長期'!A7</f>
        <v>45485</v>
      </c>
      <c r="B7" s="42">
        <f>'長期'!B7</f>
        <v>205</v>
      </c>
      <c r="C7" s="42">
        <f>'長期'!C7</f>
        <v>93</v>
      </c>
      <c r="D7" s="43">
        <f>'長期'!D7</f>
        <v>112</v>
      </c>
      <c r="N7" s="47" t="s">
        <v>15</v>
      </c>
      <c r="O7" s="46">
        <f>STDEV(D2:D26)</f>
        <v>22.37952934</v>
      </c>
      <c r="S7" s="29">
        <f>A60</f>
        <v>45407</v>
      </c>
      <c r="T7" s="20">
        <f>D60</f>
        <v>151</v>
      </c>
      <c r="U7" s="20">
        <f t="shared" ref="U7:V7" si="6">B60</f>
        <v>179</v>
      </c>
      <c r="V7" s="20">
        <f t="shared" si="6"/>
        <v>28</v>
      </c>
    </row>
    <row r="8" ht="18.0" customHeight="1">
      <c r="A8" s="41">
        <f>'長期'!A8</f>
        <v>45484</v>
      </c>
      <c r="B8" s="42">
        <f>'長期'!B8</f>
        <v>203</v>
      </c>
      <c r="C8" s="42">
        <f>'長期'!C8</f>
        <v>95</v>
      </c>
      <c r="D8" s="43">
        <f>'長期'!D8</f>
        <v>108</v>
      </c>
      <c r="N8" s="48" t="s">
        <v>9</v>
      </c>
      <c r="O8" s="46">
        <f>IF(ISERROR(O5+O6*2),"",O5+O6*2)</f>
        <v>243.9457511</v>
      </c>
      <c r="S8" s="29">
        <f>A59</f>
        <v>45408</v>
      </c>
      <c r="T8" s="20">
        <f>D59</f>
        <v>156</v>
      </c>
      <c r="U8" s="20">
        <f t="shared" ref="U8:V8" si="7">B59</f>
        <v>185</v>
      </c>
      <c r="V8" s="20">
        <f t="shared" si="7"/>
        <v>29</v>
      </c>
    </row>
    <row r="9" ht="18.0" customHeight="1">
      <c r="A9" s="41">
        <f>'長期'!A9</f>
        <v>45483</v>
      </c>
      <c r="B9" s="42">
        <f>'長期'!B9</f>
        <v>203</v>
      </c>
      <c r="C9" s="42">
        <f>'長期'!C9</f>
        <v>88</v>
      </c>
      <c r="D9" s="43">
        <f>'長期'!D9</f>
        <v>115</v>
      </c>
      <c r="N9" s="48" t="s">
        <v>10</v>
      </c>
      <c r="O9" s="46">
        <f>IF(ISERROR(O5+O6),"",O5+O6)</f>
        <v>198.980688</v>
      </c>
      <c r="S9" s="29">
        <f>A58</f>
        <v>45412</v>
      </c>
      <c r="T9" s="20">
        <f>D58</f>
        <v>177</v>
      </c>
      <c r="U9" s="20">
        <f t="shared" ref="U9:V9" si="8">B58</f>
        <v>206</v>
      </c>
      <c r="V9" s="20">
        <f t="shared" si="8"/>
        <v>29</v>
      </c>
    </row>
    <row r="10" ht="18.0" customHeight="1">
      <c r="A10" s="41">
        <f>'長期'!A10</f>
        <v>45482</v>
      </c>
      <c r="B10" s="42">
        <f>'長期'!B10</f>
        <v>209</v>
      </c>
      <c r="C10" s="42">
        <f>'長期'!C10</f>
        <v>87</v>
      </c>
      <c r="D10" s="43">
        <f>'長期'!D10</f>
        <v>122</v>
      </c>
      <c r="N10" s="48" t="s">
        <v>11</v>
      </c>
      <c r="O10" s="46">
        <f>IF(ISERROR(O5-O6),"",O5-O6)</f>
        <v>109.050562</v>
      </c>
      <c r="S10" s="29">
        <f>A57</f>
        <v>45413</v>
      </c>
      <c r="T10" s="20">
        <f>D57</f>
        <v>165</v>
      </c>
      <c r="U10" s="20">
        <f t="shared" ref="U10:V10" si="9">B57</f>
        <v>194</v>
      </c>
      <c r="V10" s="20">
        <f t="shared" si="9"/>
        <v>29</v>
      </c>
    </row>
    <row r="11" ht="18.0" customHeight="1">
      <c r="A11" s="41">
        <f>'長期'!A11</f>
        <v>45481</v>
      </c>
      <c r="B11" s="42">
        <f>'長期'!B11</f>
        <v>211</v>
      </c>
      <c r="C11" s="42">
        <f>'長期'!C11</f>
        <v>80</v>
      </c>
      <c r="D11" s="43">
        <f>'長期'!D11</f>
        <v>131</v>
      </c>
      <c r="N11" s="48" t="s">
        <v>12</v>
      </c>
      <c r="O11" s="46">
        <f>IF(ISERROR(O5-O6*2),"",O5-O6*2)</f>
        <v>64.08549891</v>
      </c>
      <c r="S11" s="29">
        <f>A56</f>
        <v>45414</v>
      </c>
      <c r="T11" s="20">
        <f>D56</f>
        <v>161</v>
      </c>
      <c r="U11" s="20">
        <f t="shared" ref="U11:V11" si="10">B56</f>
        <v>189</v>
      </c>
      <c r="V11" s="20">
        <f t="shared" si="10"/>
        <v>28</v>
      </c>
    </row>
    <row r="12" ht="18.0" customHeight="1">
      <c r="A12" s="41">
        <f>'長期'!A12</f>
        <v>45478</v>
      </c>
      <c r="B12" s="42">
        <f>'長期'!B12</f>
        <v>212</v>
      </c>
      <c r="C12" s="42">
        <f>'長期'!C12</f>
        <v>80</v>
      </c>
      <c r="D12" s="43">
        <f>'長期'!D12</f>
        <v>132</v>
      </c>
      <c r="S12" s="29">
        <f>A55</f>
        <v>45419</v>
      </c>
      <c r="T12" s="20">
        <f>D55</f>
        <v>210</v>
      </c>
      <c r="U12" s="20">
        <f t="shared" ref="U12:V12" si="11">B55</f>
        <v>239</v>
      </c>
      <c r="V12" s="20">
        <f t="shared" si="11"/>
        <v>29</v>
      </c>
    </row>
    <row r="13" ht="18.0" customHeight="1">
      <c r="A13" s="41">
        <f>'長期'!A13</f>
        <v>45477</v>
      </c>
      <c r="B13" s="42">
        <f>'長期'!B13</f>
        <v>209</v>
      </c>
      <c r="C13" s="42">
        <f>'長期'!C13</f>
        <v>80</v>
      </c>
      <c r="D13" s="43">
        <f>'長期'!D13</f>
        <v>129</v>
      </c>
      <c r="S13" s="29">
        <f>A54</f>
        <v>45420</v>
      </c>
      <c r="T13" s="20">
        <f>D54</f>
        <v>246</v>
      </c>
      <c r="U13" s="20">
        <f t="shared" ref="U13:V13" si="12">B54</f>
        <v>276</v>
      </c>
      <c r="V13" s="20">
        <f t="shared" si="12"/>
        <v>30</v>
      </c>
    </row>
    <row r="14" ht="18.0" customHeight="1">
      <c r="A14" s="41">
        <f>'長期'!A14</f>
        <v>45476</v>
      </c>
      <c r="B14" s="42">
        <f>'長期'!B14</f>
        <v>213</v>
      </c>
      <c r="C14" s="42">
        <f>'長期'!C14</f>
        <v>85</v>
      </c>
      <c r="D14" s="43">
        <f>'長期'!D14</f>
        <v>128</v>
      </c>
      <c r="S14" s="29">
        <f>A53</f>
        <v>45421</v>
      </c>
      <c r="T14" s="20">
        <f>D53</f>
        <v>248</v>
      </c>
      <c r="U14" s="20">
        <f t="shared" ref="U14:V14" si="13">B53</f>
        <v>277</v>
      </c>
      <c r="V14" s="20">
        <f t="shared" si="13"/>
        <v>29</v>
      </c>
    </row>
    <row r="15" ht="18.0" customHeight="1">
      <c r="A15" s="41">
        <f>'長期'!A15</f>
        <v>45475</v>
      </c>
      <c r="B15" s="42">
        <f>'長期'!B15</f>
        <v>206</v>
      </c>
      <c r="C15" s="42">
        <f>'長期'!C15</f>
        <v>90</v>
      </c>
      <c r="D15" s="43">
        <f>'長期'!D15</f>
        <v>116</v>
      </c>
      <c r="S15" s="29">
        <f>A52</f>
        <v>45422</v>
      </c>
      <c r="T15" s="20">
        <f>D52</f>
        <v>234</v>
      </c>
      <c r="U15" s="20">
        <f t="shared" ref="U15:V15" si="14">B52</f>
        <v>264</v>
      </c>
      <c r="V15" s="20">
        <f t="shared" si="14"/>
        <v>30</v>
      </c>
    </row>
    <row r="16" ht="18.0" customHeight="1">
      <c r="A16" s="41">
        <f>'長期'!A16</f>
        <v>45474</v>
      </c>
      <c r="B16" s="42">
        <f>'長期'!B16</f>
        <v>206</v>
      </c>
      <c r="C16" s="42">
        <f>'長期'!C16</f>
        <v>100</v>
      </c>
      <c r="D16" s="43">
        <f>'長期'!D16</f>
        <v>106</v>
      </c>
      <c r="S16" s="29">
        <f>A51</f>
        <v>45425</v>
      </c>
      <c r="T16" s="20">
        <f>D51</f>
        <v>225</v>
      </c>
      <c r="U16" s="20">
        <f t="shared" ref="U16:V16" si="15">B51</f>
        <v>255</v>
      </c>
      <c r="V16" s="20">
        <f t="shared" si="15"/>
        <v>30</v>
      </c>
    </row>
    <row r="17" ht="18.0" customHeight="1">
      <c r="A17" s="41">
        <f>'長期'!A17</f>
        <v>45471</v>
      </c>
      <c r="B17" s="42">
        <f>'長期'!B17</f>
        <v>217</v>
      </c>
      <c r="C17" s="42">
        <f>'長期'!C17</f>
        <v>99</v>
      </c>
      <c r="D17" s="43">
        <f>'長期'!D17</f>
        <v>118</v>
      </c>
      <c r="S17" s="29">
        <f>A50</f>
        <v>45426</v>
      </c>
      <c r="T17" s="20">
        <f>D50</f>
        <v>226</v>
      </c>
      <c r="U17" s="20">
        <f t="shared" ref="U17:V17" si="16">B50</f>
        <v>257</v>
      </c>
      <c r="V17" s="20">
        <f t="shared" si="16"/>
        <v>31</v>
      </c>
    </row>
    <row r="18" ht="18.0" customHeight="1">
      <c r="A18" s="41">
        <f>'長期'!A18</f>
        <v>45470</v>
      </c>
      <c r="B18" s="42">
        <f>'長期'!B18</f>
        <v>220</v>
      </c>
      <c r="C18" s="42">
        <f>'長期'!C18</f>
        <v>103</v>
      </c>
      <c r="D18" s="43">
        <f>'長期'!D18</f>
        <v>117</v>
      </c>
      <c r="S18" s="29">
        <f>A49</f>
        <v>45427</v>
      </c>
      <c r="T18" s="20">
        <f>D49</f>
        <v>216</v>
      </c>
      <c r="U18" s="20">
        <f t="shared" ref="U18:V18" si="17">B49</f>
        <v>249</v>
      </c>
      <c r="V18" s="20">
        <f t="shared" si="17"/>
        <v>33</v>
      </c>
    </row>
    <row r="19" ht="18.0" customHeight="1">
      <c r="A19" s="41">
        <f>'長期'!A19</f>
        <v>45469</v>
      </c>
      <c r="B19" s="42">
        <f>'長期'!B19</f>
        <v>224</v>
      </c>
      <c r="C19" s="42">
        <f>'長期'!C19</f>
        <v>100</v>
      </c>
      <c r="D19" s="43">
        <f>'長期'!D19</f>
        <v>124</v>
      </c>
      <c r="S19" s="29">
        <f>A48</f>
        <v>45428</v>
      </c>
      <c r="T19" s="20">
        <f>D48</f>
        <v>208</v>
      </c>
      <c r="U19" s="20">
        <f t="shared" ref="U19:V19" si="18">B48</f>
        <v>243</v>
      </c>
      <c r="V19" s="20">
        <f t="shared" si="18"/>
        <v>35</v>
      </c>
    </row>
    <row r="20" ht="18.0" customHeight="1">
      <c r="A20" s="41">
        <f>'長期'!A20</f>
        <v>45468</v>
      </c>
      <c r="B20" s="42">
        <f>'長期'!B20</f>
        <v>230</v>
      </c>
      <c r="C20" s="42">
        <f>'長期'!C20</f>
        <v>95</v>
      </c>
      <c r="D20" s="43">
        <f>'長期'!D20</f>
        <v>135</v>
      </c>
      <c r="S20" s="29">
        <f>A47</f>
        <v>45429</v>
      </c>
      <c r="T20" s="20">
        <f>D47</f>
        <v>217</v>
      </c>
      <c r="U20" s="20">
        <f t="shared" ref="U20:V20" si="19">B47</f>
        <v>252</v>
      </c>
      <c r="V20" s="20">
        <f t="shared" si="19"/>
        <v>35</v>
      </c>
    </row>
    <row r="21" ht="18.0" customHeight="1">
      <c r="A21" s="41">
        <f>'長期'!A21</f>
        <v>45467</v>
      </c>
      <c r="B21" s="42">
        <f>'長期'!B21</f>
        <v>231</v>
      </c>
      <c r="C21" s="42">
        <f>'長期'!C21</f>
        <v>95</v>
      </c>
      <c r="D21" s="43">
        <f>'長期'!D21</f>
        <v>136</v>
      </c>
      <c r="S21" s="29">
        <f>A46</f>
        <v>45432</v>
      </c>
      <c r="T21" s="20">
        <f>D46</f>
        <v>233</v>
      </c>
      <c r="U21" s="20">
        <f t="shared" ref="U21:V21" si="20">B46</f>
        <v>274</v>
      </c>
      <c r="V21" s="20">
        <f t="shared" si="20"/>
        <v>41</v>
      </c>
    </row>
    <row r="22" ht="18.0" customHeight="1">
      <c r="A22" s="41">
        <f>'長期'!A22</f>
        <v>45464</v>
      </c>
      <c r="B22" s="42">
        <f>'長期'!B22</f>
        <v>226</v>
      </c>
      <c r="C22" s="42">
        <f>'長期'!C22</f>
        <v>87</v>
      </c>
      <c r="D22" s="43">
        <f>'長期'!D22</f>
        <v>139</v>
      </c>
      <c r="S22" s="29">
        <f>A45</f>
        <v>45433</v>
      </c>
      <c r="T22" s="20">
        <f>D45</f>
        <v>231</v>
      </c>
      <c r="U22" s="20">
        <f t="shared" ref="U22:V22" si="21">B45</f>
        <v>291</v>
      </c>
      <c r="V22" s="20">
        <f t="shared" si="21"/>
        <v>60</v>
      </c>
    </row>
    <row r="23" ht="18.0" customHeight="1">
      <c r="A23" s="41">
        <f>'長期'!A23</f>
        <v>45463</v>
      </c>
      <c r="B23" s="42">
        <f>'長期'!B23</f>
        <v>220</v>
      </c>
      <c r="C23" s="42">
        <f>'長期'!C23</f>
        <v>81</v>
      </c>
      <c r="D23" s="43">
        <f>'長期'!D23</f>
        <v>139</v>
      </c>
      <c r="S23" s="29">
        <f>A44</f>
        <v>45434</v>
      </c>
      <c r="T23" s="20">
        <f>D44</f>
        <v>200</v>
      </c>
      <c r="U23" s="20">
        <f t="shared" ref="U23:V23" si="22">B44</f>
        <v>290</v>
      </c>
      <c r="V23" s="20">
        <f t="shared" si="22"/>
        <v>90</v>
      </c>
    </row>
    <row r="24" ht="18.0" customHeight="1">
      <c r="A24" s="41">
        <f>'長期'!A24</f>
        <v>45462</v>
      </c>
      <c r="B24" s="42">
        <f>'長期'!B24</f>
        <v>222</v>
      </c>
      <c r="C24" s="42">
        <f>'長期'!C24</f>
        <v>83</v>
      </c>
      <c r="D24" s="43">
        <f>'長期'!D24</f>
        <v>139</v>
      </c>
      <c r="S24" s="29">
        <f>A43</f>
        <v>45435</v>
      </c>
      <c r="T24" s="20">
        <f>D43</f>
        <v>205</v>
      </c>
      <c r="U24" s="20">
        <f t="shared" ref="U24:V24" si="23">B43</f>
        <v>281</v>
      </c>
      <c r="V24" s="20">
        <f t="shared" si="23"/>
        <v>76</v>
      </c>
    </row>
    <row r="25" ht="18.0" customHeight="1">
      <c r="A25" s="41">
        <f>'長期'!A25</f>
        <v>45461</v>
      </c>
      <c r="B25" s="42">
        <f>'長期'!B25</f>
        <v>219</v>
      </c>
      <c r="C25" s="42">
        <f>'長期'!C25</f>
        <v>84</v>
      </c>
      <c r="D25" s="43">
        <f>'長期'!D25</f>
        <v>135</v>
      </c>
      <c r="S25" s="29">
        <f>A42</f>
        <v>45436</v>
      </c>
      <c r="T25" s="20">
        <f>D42</f>
        <v>202</v>
      </c>
      <c r="U25" s="20">
        <f t="shared" ref="U25:V25" si="24">B42</f>
        <v>259</v>
      </c>
      <c r="V25" s="20">
        <f t="shared" si="24"/>
        <v>57</v>
      </c>
    </row>
    <row r="26" ht="18.0" customHeight="1">
      <c r="A26" s="41">
        <f>'長期'!A26</f>
        <v>45460</v>
      </c>
      <c r="B26" s="42">
        <f>'長期'!B26</f>
        <v>218</v>
      </c>
      <c r="C26" s="42">
        <f>'長期'!C26</f>
        <v>89</v>
      </c>
      <c r="D26" s="43">
        <f>'長期'!D26</f>
        <v>129</v>
      </c>
      <c r="S26" s="29">
        <f>A41</f>
        <v>45439</v>
      </c>
      <c r="T26" s="20">
        <f>D41</f>
        <v>198</v>
      </c>
      <c r="U26" s="20">
        <f t="shared" ref="U26:V26" si="25">B41</f>
        <v>265</v>
      </c>
      <c r="V26" s="20">
        <f t="shared" si="25"/>
        <v>67</v>
      </c>
    </row>
    <row r="27" ht="18.0" customHeight="1">
      <c r="A27" s="41">
        <f>'長期'!A27</f>
        <v>45457</v>
      </c>
      <c r="B27" s="42">
        <f>'長期'!B27</f>
        <v>221</v>
      </c>
      <c r="C27" s="42">
        <f>'長期'!C27</f>
        <v>90</v>
      </c>
      <c r="D27" s="43">
        <f>'長期'!D27</f>
        <v>131</v>
      </c>
      <c r="S27" s="29">
        <f>A40</f>
        <v>45440</v>
      </c>
      <c r="T27" s="20">
        <f>D40</f>
        <v>200</v>
      </c>
      <c r="U27" s="20">
        <f t="shared" ref="U27:V27" si="26">B40</f>
        <v>262</v>
      </c>
      <c r="V27" s="20">
        <f t="shared" si="26"/>
        <v>62</v>
      </c>
    </row>
    <row r="28" ht="18.0" customHeight="1">
      <c r="A28" s="41">
        <f>'長期'!A28</f>
        <v>45456</v>
      </c>
      <c r="B28" s="42">
        <f>'長期'!B28</f>
        <v>230</v>
      </c>
      <c r="C28" s="42">
        <f>'長期'!C28</f>
        <v>95</v>
      </c>
      <c r="D28" s="43">
        <f>'長期'!D28</f>
        <v>135</v>
      </c>
      <c r="S28" s="29">
        <f>A39</f>
        <v>45441</v>
      </c>
      <c r="T28" s="20">
        <f>D39</f>
        <v>184</v>
      </c>
      <c r="U28" s="20">
        <f t="shared" ref="U28:V28" si="27">B39</f>
        <v>240</v>
      </c>
      <c r="V28" s="20">
        <f t="shared" si="27"/>
        <v>56</v>
      </c>
    </row>
    <row r="29" ht="18.0" customHeight="1">
      <c r="A29" s="41">
        <f>'長期'!A29</f>
        <v>45455</v>
      </c>
      <c r="B29" s="42">
        <f>'長期'!B29</f>
        <v>219</v>
      </c>
      <c r="C29" s="42">
        <f>'長期'!C29</f>
        <v>107</v>
      </c>
      <c r="D29" s="43">
        <f>'長期'!D29</f>
        <v>112</v>
      </c>
      <c r="S29" s="29">
        <f>A38</f>
        <v>45442</v>
      </c>
      <c r="T29" s="20">
        <f>D38</f>
        <v>174</v>
      </c>
      <c r="U29" s="20">
        <f t="shared" ref="U29:V29" si="28">B38</f>
        <v>229</v>
      </c>
      <c r="V29" s="20">
        <f t="shared" si="28"/>
        <v>55</v>
      </c>
    </row>
    <row r="30" ht="18.0" customHeight="1">
      <c r="A30" s="41">
        <f>'長期'!A30</f>
        <v>45454</v>
      </c>
      <c r="B30" s="42">
        <f>'長期'!B30</f>
        <v>216</v>
      </c>
      <c r="C30" s="42">
        <f>'長期'!C30</f>
        <v>89</v>
      </c>
      <c r="D30" s="43">
        <f>'長期'!D30</f>
        <v>127</v>
      </c>
      <c r="S30" s="29">
        <f>A37</f>
        <v>45443</v>
      </c>
      <c r="T30" s="20">
        <f>D37</f>
        <v>185</v>
      </c>
      <c r="U30" s="20">
        <f t="shared" ref="U30:V30" si="29">B37</f>
        <v>237</v>
      </c>
      <c r="V30" s="20">
        <f t="shared" si="29"/>
        <v>52</v>
      </c>
    </row>
    <row r="31" ht="18.0" customHeight="1">
      <c r="A31" s="41">
        <f>'長期'!A31</f>
        <v>45453</v>
      </c>
      <c r="B31" s="42">
        <f>'長期'!B31</f>
        <v>216</v>
      </c>
      <c r="C31" s="42">
        <f>'長期'!C31</f>
        <v>81</v>
      </c>
      <c r="D31" s="43">
        <f>'長期'!D31</f>
        <v>135</v>
      </c>
      <c r="S31" s="29">
        <f>A36</f>
        <v>45446</v>
      </c>
      <c r="T31" s="20">
        <f>D36</f>
        <v>172</v>
      </c>
      <c r="U31" s="20">
        <f t="shared" ref="U31:V31" si="30">B36</f>
        <v>234</v>
      </c>
      <c r="V31" s="20">
        <f t="shared" si="30"/>
        <v>62</v>
      </c>
    </row>
    <row r="32" ht="18.0" customHeight="1">
      <c r="A32" s="41">
        <f>'長期'!A32</f>
        <v>45450</v>
      </c>
      <c r="B32" s="42">
        <f>'長期'!B32</f>
        <v>226</v>
      </c>
      <c r="C32" s="42">
        <f>'長期'!C32</f>
        <v>85</v>
      </c>
      <c r="D32" s="43">
        <f>'長期'!D32</f>
        <v>141</v>
      </c>
      <c r="S32" s="29">
        <f>A35</f>
        <v>45447</v>
      </c>
      <c r="T32" s="20">
        <f>D35</f>
        <v>169</v>
      </c>
      <c r="U32" s="20">
        <f t="shared" ref="U32:V32" si="31">B35</f>
        <v>235</v>
      </c>
      <c r="V32" s="20">
        <f t="shared" si="31"/>
        <v>66</v>
      </c>
    </row>
    <row r="33" ht="18.0" customHeight="1">
      <c r="A33" s="41">
        <f>'長期'!A33</f>
        <v>45449</v>
      </c>
      <c r="B33" s="42">
        <f>'長期'!B33</f>
        <v>219</v>
      </c>
      <c r="C33" s="42">
        <f>'長期'!C33</f>
        <v>78</v>
      </c>
      <c r="D33" s="43">
        <f>'長期'!D33</f>
        <v>141</v>
      </c>
      <c r="S33" s="29">
        <f>A34</f>
        <v>45448</v>
      </c>
      <c r="T33" s="20">
        <f>D34</f>
        <v>141</v>
      </c>
      <c r="U33" s="20">
        <f t="shared" ref="U33:V33" si="32">B34</f>
        <v>225</v>
      </c>
      <c r="V33" s="20">
        <f t="shared" si="32"/>
        <v>84</v>
      </c>
    </row>
    <row r="34" ht="18.0" customHeight="1">
      <c r="A34" s="41">
        <f>'長期'!A34</f>
        <v>45448</v>
      </c>
      <c r="B34" s="42">
        <f>'長期'!B34</f>
        <v>225</v>
      </c>
      <c r="C34" s="42">
        <f>'長期'!C34</f>
        <v>84</v>
      </c>
      <c r="D34" s="43">
        <f>'長期'!D34</f>
        <v>141</v>
      </c>
      <c r="S34" s="29">
        <f>A33</f>
        <v>45449</v>
      </c>
      <c r="T34" s="20">
        <f>D33</f>
        <v>141</v>
      </c>
      <c r="U34" s="20">
        <f t="shared" ref="U34:V34" si="33">B33</f>
        <v>219</v>
      </c>
      <c r="V34" s="20">
        <f t="shared" si="33"/>
        <v>78</v>
      </c>
    </row>
    <row r="35" ht="18.0" customHeight="1">
      <c r="A35" s="41">
        <f>'長期'!A35</f>
        <v>45447</v>
      </c>
      <c r="B35" s="42">
        <f>'長期'!B35</f>
        <v>235</v>
      </c>
      <c r="C35" s="42">
        <f>'長期'!C35</f>
        <v>66</v>
      </c>
      <c r="D35" s="43">
        <f>'長期'!D35</f>
        <v>169</v>
      </c>
      <c r="S35" s="29">
        <f>A32</f>
        <v>45450</v>
      </c>
      <c r="T35" s="20">
        <f>D32</f>
        <v>141</v>
      </c>
      <c r="U35" s="20">
        <f t="shared" ref="U35:V35" si="34">B32</f>
        <v>226</v>
      </c>
      <c r="V35" s="20">
        <f t="shared" si="34"/>
        <v>85</v>
      </c>
    </row>
    <row r="36" ht="18.0" customHeight="1">
      <c r="A36" s="41">
        <f>'長期'!A36</f>
        <v>45446</v>
      </c>
      <c r="B36" s="42">
        <f>'長期'!B36</f>
        <v>234</v>
      </c>
      <c r="C36" s="42">
        <f>'長期'!C36</f>
        <v>62</v>
      </c>
      <c r="D36" s="43">
        <f>'長期'!D36</f>
        <v>172</v>
      </c>
      <c r="S36" s="29">
        <f>A31</f>
        <v>45453</v>
      </c>
      <c r="T36" s="20">
        <f>D31</f>
        <v>135</v>
      </c>
      <c r="U36" s="20">
        <f t="shared" ref="U36:V36" si="35">B31</f>
        <v>216</v>
      </c>
      <c r="V36" s="20">
        <f t="shared" si="35"/>
        <v>81</v>
      </c>
    </row>
    <row r="37" ht="18.0" customHeight="1">
      <c r="A37" s="41">
        <f>'長期'!A37</f>
        <v>45443</v>
      </c>
      <c r="B37" s="42">
        <f>'長期'!B37</f>
        <v>237</v>
      </c>
      <c r="C37" s="42">
        <f>'長期'!C37</f>
        <v>52</v>
      </c>
      <c r="D37" s="43">
        <f>'長期'!D37</f>
        <v>185</v>
      </c>
      <c r="S37" s="29">
        <f>A30</f>
        <v>45454</v>
      </c>
      <c r="T37" s="20">
        <f>D30</f>
        <v>127</v>
      </c>
      <c r="U37" s="20">
        <f t="shared" ref="U37:V37" si="36">B30</f>
        <v>216</v>
      </c>
      <c r="V37" s="20">
        <f t="shared" si="36"/>
        <v>89</v>
      </c>
    </row>
    <row r="38" ht="18.0" customHeight="1">
      <c r="A38" s="41">
        <f>'長期'!A38</f>
        <v>45442</v>
      </c>
      <c r="B38" s="42">
        <f>'長期'!B38</f>
        <v>229</v>
      </c>
      <c r="C38" s="42">
        <f>'長期'!C38</f>
        <v>55</v>
      </c>
      <c r="D38" s="43">
        <f>'長期'!D38</f>
        <v>174</v>
      </c>
      <c r="S38" s="29">
        <f>A29</f>
        <v>45455</v>
      </c>
      <c r="T38" s="20">
        <f>D29</f>
        <v>112</v>
      </c>
      <c r="U38" s="20">
        <f t="shared" ref="U38:V38" si="37">B29</f>
        <v>219</v>
      </c>
      <c r="V38" s="20">
        <f t="shared" si="37"/>
        <v>107</v>
      </c>
    </row>
    <row r="39" ht="18.0" customHeight="1">
      <c r="A39" s="41">
        <f>'長期'!A39</f>
        <v>45441</v>
      </c>
      <c r="B39" s="42">
        <f>'長期'!B39</f>
        <v>240</v>
      </c>
      <c r="C39" s="42">
        <f>'長期'!C39</f>
        <v>56</v>
      </c>
      <c r="D39" s="43">
        <f>'長期'!D39</f>
        <v>184</v>
      </c>
      <c r="S39" s="29">
        <f>A28</f>
        <v>45456</v>
      </c>
      <c r="T39" s="20">
        <f>D28</f>
        <v>135</v>
      </c>
      <c r="U39" s="20">
        <f t="shared" ref="U39:V39" si="38">B28</f>
        <v>230</v>
      </c>
      <c r="V39" s="20">
        <f t="shared" si="38"/>
        <v>95</v>
      </c>
    </row>
    <row r="40" ht="18.0" customHeight="1">
      <c r="A40" s="41">
        <f>'長期'!A40</f>
        <v>45440</v>
      </c>
      <c r="B40" s="42">
        <f>'長期'!B40</f>
        <v>262</v>
      </c>
      <c r="C40" s="42">
        <f>'長期'!C40</f>
        <v>62</v>
      </c>
      <c r="D40" s="43">
        <f>'長期'!D40</f>
        <v>200</v>
      </c>
      <c r="S40" s="29">
        <f>A27</f>
        <v>45457</v>
      </c>
      <c r="T40" s="20">
        <f>D27</f>
        <v>131</v>
      </c>
      <c r="U40" s="20">
        <f t="shared" ref="U40:V40" si="39">B27</f>
        <v>221</v>
      </c>
      <c r="V40" s="20">
        <f t="shared" si="39"/>
        <v>90</v>
      </c>
    </row>
    <row r="41" ht="18.0" customHeight="1">
      <c r="A41" s="41">
        <f>'長期'!A41</f>
        <v>45439</v>
      </c>
      <c r="B41" s="42">
        <f>'長期'!B41</f>
        <v>265</v>
      </c>
      <c r="C41" s="42">
        <f>'長期'!C41</f>
        <v>67</v>
      </c>
      <c r="D41" s="43">
        <f>'長期'!D41</f>
        <v>198</v>
      </c>
      <c r="S41" s="29">
        <f>A26</f>
        <v>45460</v>
      </c>
      <c r="T41" s="20">
        <f>D26</f>
        <v>129</v>
      </c>
      <c r="U41" s="20">
        <f t="shared" ref="U41:V41" si="40">B26</f>
        <v>218</v>
      </c>
      <c r="V41" s="20">
        <f t="shared" si="40"/>
        <v>89</v>
      </c>
    </row>
    <row r="42" ht="18.0" customHeight="1">
      <c r="A42" s="41">
        <f>'長期'!A42</f>
        <v>45436</v>
      </c>
      <c r="B42" s="42">
        <f>'長期'!B42</f>
        <v>259</v>
      </c>
      <c r="C42" s="42">
        <f>'長期'!C42</f>
        <v>57</v>
      </c>
      <c r="D42" s="43">
        <f>'長期'!D42</f>
        <v>202</v>
      </c>
      <c r="S42" s="29">
        <f>A25</f>
        <v>45461</v>
      </c>
      <c r="T42" s="20">
        <f>D25</f>
        <v>135</v>
      </c>
      <c r="U42" s="20">
        <f t="shared" ref="U42:V42" si="41">B25</f>
        <v>219</v>
      </c>
      <c r="V42" s="20">
        <f t="shared" si="41"/>
        <v>84</v>
      </c>
    </row>
    <row r="43" ht="18.0" customHeight="1">
      <c r="A43" s="41">
        <f>'長期'!A43</f>
        <v>45435</v>
      </c>
      <c r="B43" s="42">
        <f>'長期'!B43</f>
        <v>281</v>
      </c>
      <c r="C43" s="42">
        <f>'長期'!C43</f>
        <v>76</v>
      </c>
      <c r="D43" s="43">
        <f>'長期'!D43</f>
        <v>205</v>
      </c>
      <c r="S43" s="29">
        <f>A24</f>
        <v>45462</v>
      </c>
      <c r="T43" s="20">
        <f>D24</f>
        <v>139</v>
      </c>
      <c r="U43" s="20">
        <f t="shared" ref="U43:V43" si="42">B24</f>
        <v>222</v>
      </c>
      <c r="V43" s="20">
        <f t="shared" si="42"/>
        <v>83</v>
      </c>
    </row>
    <row r="44" ht="18.0" customHeight="1">
      <c r="A44" s="41">
        <f>'長期'!A44</f>
        <v>45434</v>
      </c>
      <c r="B44" s="42">
        <f>'長期'!B44</f>
        <v>290</v>
      </c>
      <c r="C44" s="42">
        <f>'長期'!C44</f>
        <v>90</v>
      </c>
      <c r="D44" s="43">
        <f>'長期'!D44</f>
        <v>200</v>
      </c>
      <c r="S44" s="29">
        <f>A23</f>
        <v>45463</v>
      </c>
      <c r="T44" s="20">
        <f>D23</f>
        <v>139</v>
      </c>
      <c r="U44" s="20">
        <f t="shared" ref="U44:V44" si="43">B23</f>
        <v>220</v>
      </c>
      <c r="V44" s="20">
        <f t="shared" si="43"/>
        <v>81</v>
      </c>
    </row>
    <row r="45" ht="18.0" customHeight="1">
      <c r="A45" s="41">
        <f>'長期'!A45</f>
        <v>45433</v>
      </c>
      <c r="B45" s="42">
        <f>'長期'!B45</f>
        <v>291</v>
      </c>
      <c r="C45" s="42">
        <f>'長期'!C45</f>
        <v>60</v>
      </c>
      <c r="D45" s="43">
        <f>'長期'!D45</f>
        <v>231</v>
      </c>
      <c r="S45" s="29">
        <f>A22</f>
        <v>45464</v>
      </c>
      <c r="T45" s="20">
        <f>D22</f>
        <v>139</v>
      </c>
      <c r="U45" s="20">
        <f t="shared" ref="U45:V45" si="44">B22</f>
        <v>226</v>
      </c>
      <c r="V45" s="20">
        <f t="shared" si="44"/>
        <v>87</v>
      </c>
    </row>
    <row r="46" ht="18.0" customHeight="1">
      <c r="A46" s="41">
        <f>'長期'!A46</f>
        <v>45432</v>
      </c>
      <c r="B46" s="42">
        <f>'長期'!B46</f>
        <v>274</v>
      </c>
      <c r="C46" s="42">
        <f>'長期'!C46</f>
        <v>41</v>
      </c>
      <c r="D46" s="43">
        <f>'長期'!D46</f>
        <v>233</v>
      </c>
      <c r="S46" s="29">
        <f>A21</f>
        <v>45467</v>
      </c>
      <c r="T46" s="20">
        <f>D21</f>
        <v>136</v>
      </c>
      <c r="U46" s="20">
        <f t="shared" ref="U46:V46" si="45">B21</f>
        <v>231</v>
      </c>
      <c r="V46" s="20">
        <f t="shared" si="45"/>
        <v>95</v>
      </c>
    </row>
    <row r="47" ht="18.0" customHeight="1">
      <c r="A47" s="41">
        <f>'長期'!A47</f>
        <v>45429</v>
      </c>
      <c r="B47" s="42">
        <f>'長期'!B47</f>
        <v>252</v>
      </c>
      <c r="C47" s="42">
        <f>'長期'!C47</f>
        <v>35</v>
      </c>
      <c r="D47" s="43">
        <f>'長期'!D47</f>
        <v>217</v>
      </c>
      <c r="S47" s="29">
        <f>A20</f>
        <v>45468</v>
      </c>
      <c r="T47" s="20">
        <f>D20</f>
        <v>135</v>
      </c>
      <c r="U47" s="20">
        <f t="shared" ref="U47:V47" si="46">B20</f>
        <v>230</v>
      </c>
      <c r="V47" s="20">
        <f t="shared" si="46"/>
        <v>95</v>
      </c>
    </row>
    <row r="48" ht="18.0" customHeight="1">
      <c r="A48" s="41">
        <f>'長期'!A48</f>
        <v>45428</v>
      </c>
      <c r="B48" s="42">
        <f>'長期'!B48</f>
        <v>243</v>
      </c>
      <c r="C48" s="42">
        <f>'長期'!C48</f>
        <v>35</v>
      </c>
      <c r="D48" s="43">
        <f>'長期'!D48</f>
        <v>208</v>
      </c>
      <c r="S48" s="29">
        <f>A19</f>
        <v>45469</v>
      </c>
      <c r="T48" s="20">
        <f>D19</f>
        <v>124</v>
      </c>
      <c r="U48" s="20">
        <f t="shared" ref="U48:V48" si="47">B19</f>
        <v>224</v>
      </c>
      <c r="V48" s="20">
        <f t="shared" si="47"/>
        <v>100</v>
      </c>
    </row>
    <row r="49" ht="18.0" customHeight="1">
      <c r="A49" s="41">
        <f>'長期'!A49</f>
        <v>45427</v>
      </c>
      <c r="B49" s="42">
        <f>'長期'!B49</f>
        <v>249</v>
      </c>
      <c r="C49" s="42">
        <f>'長期'!C49</f>
        <v>33</v>
      </c>
      <c r="D49" s="43">
        <f>'長期'!D49</f>
        <v>216</v>
      </c>
      <c r="S49" s="29">
        <f>A18</f>
        <v>45470</v>
      </c>
      <c r="T49" s="20">
        <f>D18</f>
        <v>117</v>
      </c>
      <c r="U49" s="20">
        <f t="shared" ref="U49:V49" si="48">B18</f>
        <v>220</v>
      </c>
      <c r="V49" s="20">
        <f t="shared" si="48"/>
        <v>103</v>
      </c>
    </row>
    <row r="50" ht="18.0" customHeight="1">
      <c r="A50" s="41">
        <f>'長期'!A50</f>
        <v>45426</v>
      </c>
      <c r="B50" s="42">
        <f>'長期'!B50</f>
        <v>257</v>
      </c>
      <c r="C50" s="42">
        <f>'長期'!C50</f>
        <v>31</v>
      </c>
      <c r="D50" s="43">
        <f>'長期'!D50</f>
        <v>226</v>
      </c>
      <c r="S50" s="29">
        <f>A17</f>
        <v>45471</v>
      </c>
      <c r="T50" s="20">
        <f>D17</f>
        <v>118</v>
      </c>
      <c r="U50" s="20">
        <f t="shared" ref="U50:V50" si="49">B17</f>
        <v>217</v>
      </c>
      <c r="V50" s="20">
        <f t="shared" si="49"/>
        <v>99</v>
      </c>
    </row>
    <row r="51" ht="18.0" customHeight="1">
      <c r="A51" s="41">
        <f>'長期'!A51</f>
        <v>45425</v>
      </c>
      <c r="B51" s="42">
        <f>'長期'!B51</f>
        <v>255</v>
      </c>
      <c r="C51" s="42">
        <f>'長期'!C51</f>
        <v>30</v>
      </c>
      <c r="D51" s="43">
        <f>'長期'!D51</f>
        <v>225</v>
      </c>
      <c r="S51" s="29">
        <f>A16</f>
        <v>45474</v>
      </c>
      <c r="T51" s="20">
        <f>D16</f>
        <v>106</v>
      </c>
      <c r="U51" s="20">
        <f t="shared" ref="U51:V51" si="50">B16</f>
        <v>206</v>
      </c>
      <c r="V51" s="20">
        <f t="shared" si="50"/>
        <v>100</v>
      </c>
    </row>
    <row r="52" ht="18.0" customHeight="1">
      <c r="A52" s="41">
        <f>'長期'!A52</f>
        <v>45422</v>
      </c>
      <c r="B52" s="42">
        <f>'長期'!B52</f>
        <v>264</v>
      </c>
      <c r="C52" s="42">
        <f>'長期'!C52</f>
        <v>30</v>
      </c>
      <c r="D52" s="43">
        <f>'長期'!D52</f>
        <v>234</v>
      </c>
      <c r="S52" s="29">
        <f>A15</f>
        <v>45475</v>
      </c>
      <c r="T52" s="20">
        <f>D15</f>
        <v>116</v>
      </c>
      <c r="U52" s="20">
        <f t="shared" ref="U52:V52" si="51">B15</f>
        <v>206</v>
      </c>
      <c r="V52" s="20">
        <f t="shared" si="51"/>
        <v>90</v>
      </c>
    </row>
    <row r="53" ht="18.0" customHeight="1">
      <c r="A53" s="41">
        <f>'長期'!A53</f>
        <v>45421</v>
      </c>
      <c r="B53" s="42">
        <f>'長期'!B53</f>
        <v>277</v>
      </c>
      <c r="C53" s="42">
        <f>'長期'!C53</f>
        <v>29</v>
      </c>
      <c r="D53" s="43">
        <f>'長期'!D53</f>
        <v>248</v>
      </c>
      <c r="S53" s="29">
        <f>A14</f>
        <v>45476</v>
      </c>
      <c r="T53" s="20">
        <f>D14</f>
        <v>128</v>
      </c>
      <c r="U53" s="20">
        <f t="shared" ref="U53:V53" si="52">B14</f>
        <v>213</v>
      </c>
      <c r="V53" s="20">
        <f t="shared" si="52"/>
        <v>85</v>
      </c>
    </row>
    <row r="54" ht="18.0" customHeight="1">
      <c r="A54" s="41">
        <f>'長期'!A54</f>
        <v>45420</v>
      </c>
      <c r="B54" s="42">
        <f>'長期'!B54</f>
        <v>276</v>
      </c>
      <c r="C54" s="42">
        <f>'長期'!C54</f>
        <v>30</v>
      </c>
      <c r="D54" s="43">
        <f>'長期'!D54</f>
        <v>246</v>
      </c>
      <c r="S54" s="29">
        <f>A13</f>
        <v>45477</v>
      </c>
      <c r="T54" s="20">
        <f>D13</f>
        <v>129</v>
      </c>
      <c r="U54" s="20">
        <f t="shared" ref="U54:V54" si="53">B13</f>
        <v>209</v>
      </c>
      <c r="V54" s="20">
        <f t="shared" si="53"/>
        <v>80</v>
      </c>
    </row>
    <row r="55" ht="18.0" customHeight="1">
      <c r="A55" s="41">
        <f>'長期'!A55</f>
        <v>45419</v>
      </c>
      <c r="B55" s="42">
        <f>'長期'!B55</f>
        <v>239</v>
      </c>
      <c r="C55" s="42">
        <f>'長期'!C55</f>
        <v>29</v>
      </c>
      <c r="D55" s="43">
        <f>'長期'!D55</f>
        <v>210</v>
      </c>
      <c r="S55" s="29">
        <f>A12</f>
        <v>45478</v>
      </c>
      <c r="T55" s="20">
        <f>D12</f>
        <v>132</v>
      </c>
      <c r="U55" s="20">
        <f t="shared" ref="U55:V55" si="54">B12</f>
        <v>212</v>
      </c>
      <c r="V55" s="20">
        <f t="shared" si="54"/>
        <v>80</v>
      </c>
    </row>
    <row r="56" ht="18.0" customHeight="1">
      <c r="A56" s="41">
        <f>'長期'!A56</f>
        <v>45414</v>
      </c>
      <c r="B56" s="42">
        <f>'長期'!B56</f>
        <v>189</v>
      </c>
      <c r="C56" s="42">
        <f>'長期'!C56</f>
        <v>28</v>
      </c>
      <c r="D56" s="43">
        <f>'長期'!D56</f>
        <v>161</v>
      </c>
      <c r="S56" s="29">
        <f>A11</f>
        <v>45481</v>
      </c>
      <c r="T56" s="20">
        <f>D11</f>
        <v>131</v>
      </c>
      <c r="U56" s="20">
        <f t="shared" ref="U56:V56" si="55">B11</f>
        <v>211</v>
      </c>
      <c r="V56" s="20">
        <f t="shared" si="55"/>
        <v>80</v>
      </c>
    </row>
    <row r="57" ht="18.0" customHeight="1">
      <c r="A57" s="41">
        <f>'長期'!A57</f>
        <v>45413</v>
      </c>
      <c r="B57" s="42">
        <f>'長期'!B57</f>
        <v>194</v>
      </c>
      <c r="C57" s="42">
        <f>'長期'!C57</f>
        <v>29</v>
      </c>
      <c r="D57" s="43">
        <f>'長期'!D57</f>
        <v>165</v>
      </c>
      <c r="S57" s="29">
        <f>A10</f>
        <v>45482</v>
      </c>
      <c r="T57" s="20">
        <f>D10</f>
        <v>122</v>
      </c>
      <c r="U57" s="20">
        <f t="shared" ref="U57:V57" si="56">B10</f>
        <v>209</v>
      </c>
      <c r="V57" s="20">
        <f t="shared" si="56"/>
        <v>87</v>
      </c>
    </row>
    <row r="58" ht="18.0" customHeight="1">
      <c r="A58" s="41">
        <f>'長期'!A58</f>
        <v>45412</v>
      </c>
      <c r="B58" s="42">
        <f>'長期'!B58</f>
        <v>206</v>
      </c>
      <c r="C58" s="42">
        <f>'長期'!C58</f>
        <v>29</v>
      </c>
      <c r="D58" s="43">
        <f>'長期'!D58</f>
        <v>177</v>
      </c>
      <c r="S58" s="29">
        <f>A9</f>
        <v>45483</v>
      </c>
      <c r="T58" s="20">
        <f>D9</f>
        <v>115</v>
      </c>
      <c r="U58" s="20">
        <f t="shared" ref="U58:V58" si="57">B9</f>
        <v>203</v>
      </c>
      <c r="V58" s="20">
        <f t="shared" si="57"/>
        <v>88</v>
      </c>
    </row>
    <row r="59" ht="18.0" customHeight="1">
      <c r="A59" s="41">
        <f>'長期'!A59</f>
        <v>45408</v>
      </c>
      <c r="B59" s="42">
        <f>'長期'!B59</f>
        <v>185</v>
      </c>
      <c r="C59" s="42">
        <f>'長期'!C59</f>
        <v>29</v>
      </c>
      <c r="D59" s="43">
        <f>'長期'!D59</f>
        <v>156</v>
      </c>
      <c r="S59" s="29">
        <f>A8</f>
        <v>45484</v>
      </c>
      <c r="T59" s="20">
        <f>D8</f>
        <v>108</v>
      </c>
      <c r="U59" s="20">
        <f t="shared" ref="U59:V59" si="58">B8</f>
        <v>203</v>
      </c>
      <c r="V59" s="20">
        <f t="shared" si="58"/>
        <v>95</v>
      </c>
    </row>
    <row r="60" ht="18.0" customHeight="1">
      <c r="A60" s="41">
        <f>'長期'!A60</f>
        <v>45407</v>
      </c>
      <c r="B60" s="42">
        <f>'長期'!B60</f>
        <v>179</v>
      </c>
      <c r="C60" s="42">
        <f>'長期'!C60</f>
        <v>28</v>
      </c>
      <c r="D60" s="43">
        <f>'長期'!D60</f>
        <v>151</v>
      </c>
      <c r="S60" s="29">
        <f>A7</f>
        <v>45485</v>
      </c>
      <c r="T60" s="20">
        <f>D7</f>
        <v>112</v>
      </c>
      <c r="U60" s="20">
        <f t="shared" ref="U60:V60" si="59">B7</f>
        <v>205</v>
      </c>
      <c r="V60" s="20">
        <f t="shared" si="59"/>
        <v>93</v>
      </c>
    </row>
    <row r="61" ht="18.0" customHeight="1">
      <c r="A61" s="41">
        <f>'長期'!A61</f>
        <v>45406</v>
      </c>
      <c r="B61" s="42">
        <f>'長期'!B61</f>
        <v>174</v>
      </c>
      <c r="C61" s="42">
        <f>'長期'!C61</f>
        <v>32</v>
      </c>
      <c r="D61" s="43">
        <f>'長期'!D61</f>
        <v>142</v>
      </c>
      <c r="S61" s="29">
        <f>A6</f>
        <v>45489</v>
      </c>
      <c r="T61" s="20">
        <f>D6</f>
        <v>101</v>
      </c>
      <c r="U61" s="20">
        <f t="shared" ref="U61:V61" si="60">B6</f>
        <v>203</v>
      </c>
      <c r="V61" s="20">
        <f t="shared" si="60"/>
        <v>102</v>
      </c>
    </row>
    <row r="62" ht="18.0" customHeight="1">
      <c r="A62" s="41">
        <f>'長期'!A62</f>
        <v>45405</v>
      </c>
      <c r="B62" s="42">
        <f>'長期'!B62</f>
        <v>168</v>
      </c>
      <c r="C62" s="42">
        <f>'長期'!C62</f>
        <v>34</v>
      </c>
      <c r="D62" s="43">
        <f>'長期'!D62</f>
        <v>134</v>
      </c>
      <c r="S62" s="29">
        <f>A5</f>
        <v>45490</v>
      </c>
      <c r="T62" s="20">
        <f>D5</f>
        <v>75</v>
      </c>
      <c r="U62" s="20">
        <f t="shared" ref="U62:V62" si="61">B5</f>
        <v>204</v>
      </c>
      <c r="V62" s="20">
        <f t="shared" si="61"/>
        <v>129</v>
      </c>
    </row>
    <row r="63" ht="18.0" customHeight="1">
      <c r="A63" s="41">
        <f>'長期'!A63</f>
        <v>45404</v>
      </c>
      <c r="B63" s="42">
        <f>'長期'!B63</f>
        <v>166</v>
      </c>
      <c r="C63" s="42">
        <f>'長期'!C63</f>
        <v>31</v>
      </c>
      <c r="D63" s="43">
        <f>'長期'!D63</f>
        <v>135</v>
      </c>
      <c r="S63" s="29">
        <f>A4</f>
        <v>45491</v>
      </c>
      <c r="T63" s="20">
        <f>D4</f>
        <v>75</v>
      </c>
      <c r="U63" s="20">
        <f t="shared" ref="U63:V63" si="62">B4</f>
        <v>200</v>
      </c>
      <c r="V63" s="20">
        <f t="shared" si="62"/>
        <v>125</v>
      </c>
    </row>
    <row r="64" ht="18.0" customHeight="1">
      <c r="A64" s="41">
        <f>'長期'!A64</f>
        <v>45401</v>
      </c>
      <c r="B64" s="42">
        <f>'長期'!B64</f>
        <v>170</v>
      </c>
      <c r="C64" s="42">
        <f>'長期'!C64</f>
        <v>30</v>
      </c>
      <c r="D64" s="43">
        <f>'長期'!D64</f>
        <v>140</v>
      </c>
      <c r="S64" s="29">
        <f>A3</f>
        <v>45492</v>
      </c>
      <c r="T64" s="20">
        <f>D3</f>
        <v>51</v>
      </c>
      <c r="U64" s="20">
        <f t="shared" ref="U64:V64" si="63">B3</f>
        <v>196</v>
      </c>
      <c r="V64" s="20">
        <f t="shared" si="63"/>
        <v>145</v>
      </c>
    </row>
    <row r="65" ht="18.0" customHeight="1">
      <c r="A65" s="41">
        <f>'長期'!A65</f>
        <v>45400</v>
      </c>
      <c r="B65" s="42">
        <f>'長期'!B65</f>
        <v>166</v>
      </c>
      <c r="C65" s="42">
        <f>'長期'!C65</f>
        <v>28</v>
      </c>
      <c r="D65" s="43">
        <f>'長期'!D65</f>
        <v>138</v>
      </c>
      <c r="S65" s="29">
        <f>A2</f>
        <v>45495</v>
      </c>
      <c r="T65" s="20">
        <f>D2</f>
        <v>100</v>
      </c>
      <c r="U65" s="20">
        <f t="shared" ref="U65:V65" si="64">B2</f>
        <v>200</v>
      </c>
      <c r="V65" s="20">
        <f t="shared" si="64"/>
        <v>100</v>
      </c>
    </row>
    <row r="66" ht="12.0" customHeight="1">
      <c r="A66" s="49"/>
      <c r="B66" s="49"/>
      <c r="C66" s="49"/>
      <c r="D66" s="50"/>
      <c r="S66" s="19"/>
      <c r="T66" s="19"/>
      <c r="U66" s="19"/>
      <c r="V66" s="19"/>
    </row>
    <row r="67" ht="12.0" customHeight="1">
      <c r="A67" s="49"/>
      <c r="B67" s="49"/>
      <c r="C67" s="49"/>
      <c r="D67" s="50"/>
      <c r="S67" s="19"/>
      <c r="T67" s="19"/>
      <c r="U67" s="19"/>
      <c r="V67" s="19"/>
    </row>
    <row r="68" ht="12.0" customHeight="1">
      <c r="A68" s="49"/>
      <c r="B68" s="49"/>
      <c r="C68" s="49"/>
      <c r="D68" s="50"/>
      <c r="S68" s="19"/>
      <c r="T68" s="19"/>
      <c r="U68" s="19"/>
      <c r="V68" s="19"/>
    </row>
    <row r="69" ht="12.0" customHeight="1">
      <c r="A69" s="49"/>
      <c r="B69" s="49"/>
      <c r="C69" s="49"/>
      <c r="D69" s="50"/>
      <c r="S69" s="19"/>
      <c r="T69" s="19"/>
      <c r="U69" s="19"/>
      <c r="V69" s="19"/>
    </row>
    <row r="70" ht="12.0" customHeight="1">
      <c r="A70" s="49"/>
      <c r="B70" s="49"/>
      <c r="C70" s="49"/>
      <c r="D70" s="50"/>
      <c r="S70" s="19"/>
      <c r="T70" s="19"/>
      <c r="U70" s="19"/>
      <c r="V70" s="19"/>
    </row>
    <row r="71" ht="12.0" customHeight="1">
      <c r="A71" s="49"/>
      <c r="B71" s="49"/>
      <c r="C71" s="49"/>
      <c r="D71" s="50"/>
      <c r="S71" s="19"/>
      <c r="T71" s="19"/>
      <c r="U71" s="19"/>
      <c r="V71" s="19"/>
    </row>
    <row r="72" ht="12.0" customHeight="1">
      <c r="A72" s="49"/>
      <c r="B72" s="49"/>
      <c r="C72" s="49"/>
      <c r="D72" s="50"/>
      <c r="S72" s="19"/>
      <c r="T72" s="19"/>
      <c r="U72" s="19"/>
      <c r="V72" s="19"/>
    </row>
    <row r="73" ht="12.0" customHeight="1">
      <c r="A73" s="49"/>
      <c r="B73" s="49"/>
      <c r="C73" s="49"/>
      <c r="D73" s="50"/>
      <c r="S73" s="19"/>
      <c r="T73" s="19"/>
      <c r="U73" s="19"/>
      <c r="V73" s="19"/>
    </row>
    <row r="74" ht="12.0" customHeight="1">
      <c r="A74" s="49"/>
      <c r="B74" s="49"/>
      <c r="C74" s="49"/>
      <c r="D74" s="50"/>
      <c r="S74" s="19"/>
      <c r="T74" s="19"/>
      <c r="U74" s="19"/>
      <c r="V74" s="19"/>
    </row>
    <row r="75" ht="12.0" customHeight="1">
      <c r="A75" s="49"/>
      <c r="B75" s="49"/>
      <c r="C75" s="49"/>
      <c r="D75" s="50"/>
      <c r="S75" s="19"/>
      <c r="T75" s="19"/>
      <c r="U75" s="19"/>
      <c r="V75" s="19"/>
    </row>
    <row r="76" ht="12.0" customHeight="1">
      <c r="A76" s="49"/>
      <c r="B76" s="49"/>
      <c r="C76" s="49"/>
      <c r="D76" s="50"/>
      <c r="S76" s="19"/>
      <c r="T76" s="19"/>
      <c r="U76" s="19"/>
      <c r="V76" s="19"/>
    </row>
    <row r="77" ht="12.0" customHeight="1">
      <c r="A77" s="49"/>
      <c r="B77" s="49"/>
      <c r="C77" s="49"/>
      <c r="D77" s="50"/>
      <c r="S77" s="19"/>
      <c r="T77" s="19"/>
      <c r="U77" s="19"/>
      <c r="V77" s="19"/>
    </row>
    <row r="78" ht="12.0" customHeight="1">
      <c r="A78" s="49"/>
      <c r="B78" s="49"/>
      <c r="C78" s="49"/>
      <c r="D78" s="50"/>
      <c r="S78" s="19"/>
      <c r="T78" s="19"/>
      <c r="U78" s="19"/>
      <c r="V78" s="19"/>
    </row>
    <row r="79" ht="12.0" customHeight="1">
      <c r="A79" s="49"/>
      <c r="B79" s="49"/>
      <c r="C79" s="49"/>
      <c r="D79" s="50"/>
      <c r="S79" s="19"/>
      <c r="T79" s="19"/>
      <c r="U79" s="19"/>
      <c r="V79" s="19"/>
    </row>
    <row r="80" ht="12.0" customHeight="1">
      <c r="A80" s="49"/>
      <c r="B80" s="49"/>
      <c r="C80" s="49"/>
      <c r="D80" s="50"/>
      <c r="S80" s="19"/>
      <c r="T80" s="19"/>
      <c r="U80" s="19"/>
      <c r="V80" s="19"/>
    </row>
    <row r="81" ht="12.0" customHeight="1">
      <c r="A81" s="49"/>
      <c r="B81" s="49"/>
      <c r="C81" s="49"/>
      <c r="D81" s="50"/>
      <c r="S81" s="19"/>
      <c r="T81" s="19"/>
      <c r="U81" s="19"/>
      <c r="V81" s="19"/>
    </row>
    <row r="82" ht="12.0" customHeight="1">
      <c r="A82" s="49"/>
      <c r="B82" s="49"/>
      <c r="C82" s="49"/>
      <c r="D82" s="50"/>
      <c r="S82" s="19"/>
      <c r="T82" s="19"/>
      <c r="U82" s="19"/>
      <c r="V82" s="19"/>
    </row>
    <row r="83" ht="12.0" customHeight="1">
      <c r="A83" s="49"/>
      <c r="B83" s="49"/>
      <c r="C83" s="49"/>
      <c r="D83" s="50"/>
      <c r="S83" s="19"/>
      <c r="T83" s="19"/>
      <c r="U83" s="19"/>
      <c r="V83" s="19"/>
    </row>
    <row r="84" ht="12.0" customHeight="1">
      <c r="A84" s="49"/>
      <c r="B84" s="49"/>
      <c r="C84" s="49"/>
      <c r="D84" s="50"/>
      <c r="S84" s="19"/>
      <c r="T84" s="19"/>
      <c r="U84" s="19"/>
      <c r="V84" s="19"/>
    </row>
    <row r="85" ht="12.0" customHeight="1">
      <c r="A85" s="49"/>
      <c r="B85" s="49"/>
      <c r="C85" s="49"/>
      <c r="D85" s="50"/>
      <c r="S85" s="19"/>
      <c r="T85" s="19"/>
      <c r="U85" s="19"/>
      <c r="V85" s="19"/>
    </row>
    <row r="86" ht="12.0" customHeight="1">
      <c r="A86" s="49"/>
      <c r="B86" s="49"/>
      <c r="C86" s="49"/>
      <c r="D86" s="50"/>
      <c r="S86" s="19"/>
      <c r="T86" s="19"/>
      <c r="U86" s="19"/>
      <c r="V86" s="19"/>
    </row>
    <row r="87" ht="12.0" customHeight="1">
      <c r="A87" s="49"/>
      <c r="B87" s="49"/>
      <c r="C87" s="49"/>
      <c r="D87" s="50"/>
      <c r="S87" s="19"/>
      <c r="T87" s="19"/>
      <c r="U87" s="19"/>
      <c r="V87" s="19"/>
    </row>
    <row r="88" ht="12.0" customHeight="1">
      <c r="A88" s="49"/>
      <c r="B88" s="49"/>
      <c r="C88" s="49"/>
      <c r="D88" s="50"/>
      <c r="S88" s="19"/>
      <c r="T88" s="19"/>
      <c r="U88" s="19"/>
      <c r="V88" s="19"/>
    </row>
    <row r="89" ht="12.0" customHeight="1">
      <c r="A89" s="49"/>
      <c r="B89" s="49"/>
      <c r="C89" s="49"/>
      <c r="D89" s="50"/>
      <c r="S89" s="19"/>
      <c r="T89" s="19"/>
      <c r="U89" s="19"/>
      <c r="V89" s="19"/>
    </row>
    <row r="90" ht="12.0" customHeight="1">
      <c r="A90" s="49"/>
      <c r="B90" s="49"/>
      <c r="C90" s="49"/>
      <c r="D90" s="50"/>
      <c r="S90" s="19"/>
      <c r="T90" s="19"/>
      <c r="U90" s="19"/>
      <c r="V90" s="19"/>
    </row>
    <row r="91" ht="12.0" customHeight="1">
      <c r="A91" s="49"/>
      <c r="B91" s="49"/>
      <c r="C91" s="49"/>
      <c r="D91" s="50"/>
      <c r="S91" s="19"/>
      <c r="T91" s="19"/>
      <c r="U91" s="19"/>
      <c r="V91" s="19"/>
    </row>
    <row r="92" ht="12.0" customHeight="1">
      <c r="A92" s="49"/>
      <c r="B92" s="49"/>
      <c r="C92" s="49"/>
      <c r="D92" s="50"/>
      <c r="S92" s="19"/>
      <c r="T92" s="19"/>
      <c r="U92" s="19"/>
      <c r="V92" s="19"/>
    </row>
    <row r="93" ht="12.0" customHeight="1">
      <c r="A93" s="49"/>
      <c r="B93" s="49"/>
      <c r="C93" s="49"/>
      <c r="D93" s="50"/>
      <c r="S93" s="19"/>
      <c r="T93" s="19"/>
      <c r="U93" s="19"/>
      <c r="V93" s="19"/>
    </row>
    <row r="94" ht="12.0" customHeight="1">
      <c r="A94" s="49"/>
      <c r="B94" s="49"/>
      <c r="C94" s="49"/>
      <c r="D94" s="50"/>
      <c r="S94" s="19"/>
      <c r="T94" s="19"/>
      <c r="U94" s="19"/>
      <c r="V94" s="19"/>
    </row>
    <row r="95" ht="12.0" customHeight="1">
      <c r="A95" s="49"/>
      <c r="B95" s="49"/>
      <c r="C95" s="49"/>
      <c r="D95" s="50"/>
      <c r="S95" s="19"/>
      <c r="T95" s="19"/>
      <c r="U95" s="19"/>
      <c r="V95" s="19"/>
    </row>
    <row r="96" ht="12.0" customHeight="1">
      <c r="A96" s="49"/>
      <c r="B96" s="49"/>
      <c r="C96" s="49"/>
      <c r="D96" s="50"/>
      <c r="S96" s="19"/>
      <c r="T96" s="19"/>
      <c r="U96" s="19"/>
      <c r="V96" s="19"/>
    </row>
    <row r="97" ht="12.0" customHeight="1">
      <c r="A97" s="49"/>
      <c r="B97" s="49"/>
      <c r="C97" s="49"/>
      <c r="D97" s="50"/>
      <c r="S97" s="19"/>
      <c r="T97" s="19"/>
      <c r="U97" s="19"/>
      <c r="V97" s="19"/>
    </row>
    <row r="98" ht="12.0" customHeight="1">
      <c r="A98" s="49"/>
      <c r="B98" s="49"/>
      <c r="C98" s="49"/>
      <c r="D98" s="50"/>
      <c r="S98" s="19"/>
      <c r="T98" s="19"/>
      <c r="U98" s="19"/>
      <c r="V98" s="19"/>
    </row>
    <row r="99" ht="12.0" customHeight="1">
      <c r="A99" s="49"/>
      <c r="B99" s="49"/>
      <c r="C99" s="49"/>
      <c r="D99" s="50"/>
      <c r="S99" s="19"/>
      <c r="T99" s="19"/>
      <c r="U99" s="19"/>
      <c r="V99" s="19"/>
    </row>
    <row r="100" ht="12.0" customHeight="1">
      <c r="A100" s="49"/>
      <c r="B100" s="49"/>
      <c r="C100" s="49"/>
      <c r="D100" s="50"/>
      <c r="S100" s="19"/>
      <c r="T100" s="19"/>
      <c r="U100" s="19"/>
      <c r="V100" s="19"/>
    </row>
    <row r="101" ht="12.0" customHeight="1">
      <c r="A101" s="49"/>
      <c r="B101" s="49"/>
      <c r="C101" s="49"/>
      <c r="D101" s="50"/>
      <c r="S101" s="19"/>
      <c r="T101" s="19"/>
      <c r="U101" s="19"/>
      <c r="V101" s="19"/>
    </row>
    <row r="102" ht="12.0" customHeight="1">
      <c r="A102" s="49"/>
      <c r="B102" s="49"/>
      <c r="C102" s="49"/>
      <c r="D102" s="50"/>
      <c r="S102" s="19"/>
      <c r="T102" s="19"/>
      <c r="U102" s="19"/>
      <c r="V102" s="19"/>
    </row>
    <row r="103" ht="12.0" customHeight="1">
      <c r="A103" s="49"/>
      <c r="B103" s="49"/>
      <c r="C103" s="49"/>
      <c r="D103" s="50"/>
      <c r="S103" s="19"/>
      <c r="T103" s="19"/>
      <c r="U103" s="19"/>
      <c r="V103" s="19"/>
    </row>
    <row r="104" ht="12.0" customHeight="1">
      <c r="A104" s="49"/>
      <c r="B104" s="49"/>
      <c r="C104" s="49"/>
      <c r="D104" s="50"/>
      <c r="S104" s="19"/>
      <c r="T104" s="19"/>
      <c r="U104" s="19"/>
      <c r="V104" s="19"/>
    </row>
    <row r="105" ht="12.0" customHeight="1">
      <c r="A105" s="49"/>
      <c r="B105" s="49"/>
      <c r="C105" s="49"/>
      <c r="D105" s="50"/>
      <c r="S105" s="19"/>
      <c r="T105" s="19"/>
      <c r="U105" s="19"/>
      <c r="V105" s="19"/>
    </row>
    <row r="106" ht="12.0" customHeight="1">
      <c r="A106" s="49"/>
      <c r="B106" s="49"/>
      <c r="C106" s="49"/>
      <c r="D106" s="50"/>
      <c r="S106" s="19"/>
      <c r="T106" s="19"/>
      <c r="U106" s="19"/>
      <c r="V106" s="19"/>
    </row>
    <row r="107" ht="12.0" customHeight="1">
      <c r="A107" s="49"/>
      <c r="B107" s="49"/>
      <c r="C107" s="49"/>
      <c r="D107" s="50"/>
      <c r="S107" s="19"/>
      <c r="T107" s="19"/>
      <c r="U107" s="19"/>
      <c r="V107" s="19"/>
    </row>
    <row r="108" ht="12.0" customHeight="1">
      <c r="A108" s="49"/>
      <c r="B108" s="49"/>
      <c r="C108" s="49"/>
      <c r="D108" s="50"/>
      <c r="S108" s="19"/>
      <c r="T108" s="19"/>
      <c r="U108" s="19"/>
      <c r="V108" s="19"/>
    </row>
    <row r="109" ht="12.0" customHeight="1">
      <c r="A109" s="49"/>
      <c r="B109" s="49"/>
      <c r="C109" s="49"/>
      <c r="D109" s="50"/>
      <c r="S109" s="19"/>
      <c r="T109" s="19"/>
      <c r="U109" s="19"/>
      <c r="V109" s="19"/>
    </row>
    <row r="110" ht="12.0" customHeight="1">
      <c r="A110" s="49"/>
      <c r="B110" s="49"/>
      <c r="C110" s="49"/>
      <c r="D110" s="50"/>
      <c r="S110" s="19"/>
      <c r="T110" s="19"/>
      <c r="U110" s="19"/>
      <c r="V110" s="19"/>
    </row>
    <row r="111" ht="12.0" customHeight="1">
      <c r="A111" s="49"/>
      <c r="B111" s="49"/>
      <c r="C111" s="49"/>
      <c r="D111" s="50"/>
      <c r="S111" s="19"/>
      <c r="T111" s="19"/>
      <c r="U111" s="19"/>
      <c r="V111" s="19"/>
    </row>
    <row r="112" ht="12.0" customHeight="1">
      <c r="A112" s="49"/>
      <c r="B112" s="49"/>
      <c r="C112" s="49"/>
      <c r="D112" s="50"/>
      <c r="S112" s="19"/>
      <c r="T112" s="19"/>
      <c r="U112" s="19"/>
      <c r="V112" s="19"/>
    </row>
    <row r="113" ht="12.0" customHeight="1">
      <c r="A113" s="49"/>
      <c r="B113" s="49"/>
      <c r="C113" s="49"/>
      <c r="D113" s="50"/>
      <c r="S113" s="19"/>
      <c r="T113" s="19"/>
      <c r="U113" s="19"/>
      <c r="V113" s="19"/>
    </row>
    <row r="114" ht="12.0" customHeight="1">
      <c r="A114" s="49"/>
      <c r="B114" s="49"/>
      <c r="C114" s="49"/>
      <c r="D114" s="50"/>
      <c r="S114" s="19"/>
      <c r="T114" s="19"/>
      <c r="U114" s="19"/>
      <c r="V114" s="19"/>
    </row>
    <row r="115" ht="12.0" customHeight="1">
      <c r="A115" s="49"/>
      <c r="B115" s="49"/>
      <c r="C115" s="49"/>
      <c r="D115" s="50"/>
      <c r="S115" s="19"/>
      <c r="T115" s="19"/>
      <c r="U115" s="19"/>
      <c r="V115" s="19"/>
    </row>
    <row r="116" ht="12.0" customHeight="1">
      <c r="A116" s="49"/>
      <c r="B116" s="49"/>
      <c r="C116" s="49"/>
      <c r="D116" s="50"/>
      <c r="S116" s="19"/>
      <c r="T116" s="19"/>
      <c r="U116" s="19"/>
      <c r="V116" s="19"/>
    </row>
    <row r="117" ht="12.0" customHeight="1">
      <c r="A117" s="49"/>
      <c r="B117" s="49"/>
      <c r="C117" s="49"/>
      <c r="D117" s="50"/>
      <c r="S117" s="19"/>
      <c r="T117" s="19"/>
      <c r="U117" s="19"/>
      <c r="V117" s="19"/>
    </row>
    <row r="118" ht="12.0" customHeight="1">
      <c r="A118" s="49"/>
      <c r="B118" s="49"/>
      <c r="C118" s="49"/>
      <c r="D118" s="50"/>
      <c r="S118" s="19"/>
      <c r="T118" s="19"/>
      <c r="U118" s="19"/>
      <c r="V118" s="19"/>
    </row>
    <row r="119" ht="12.0" customHeight="1">
      <c r="A119" s="49"/>
      <c r="B119" s="49"/>
      <c r="C119" s="49"/>
      <c r="D119" s="50"/>
      <c r="S119" s="19"/>
      <c r="T119" s="19"/>
      <c r="U119" s="19"/>
      <c r="V119" s="19"/>
    </row>
    <row r="120" ht="12.0" customHeight="1">
      <c r="A120" s="49"/>
      <c r="B120" s="49"/>
      <c r="C120" s="49"/>
      <c r="D120" s="50"/>
      <c r="S120" s="19"/>
      <c r="T120" s="19"/>
      <c r="U120" s="19"/>
      <c r="V120" s="19"/>
    </row>
    <row r="121" ht="12.0" customHeight="1">
      <c r="A121" s="49"/>
      <c r="B121" s="49"/>
      <c r="C121" s="49"/>
      <c r="D121" s="50"/>
      <c r="S121" s="19"/>
      <c r="T121" s="19"/>
      <c r="U121" s="19"/>
      <c r="V121" s="19"/>
    </row>
    <row r="122" ht="12.0" customHeight="1">
      <c r="A122" s="49"/>
      <c r="B122" s="49"/>
      <c r="C122" s="49"/>
      <c r="D122" s="50"/>
      <c r="S122" s="19"/>
      <c r="T122" s="19"/>
      <c r="U122" s="19"/>
      <c r="V122" s="19"/>
    </row>
    <row r="123" ht="12.0" customHeight="1">
      <c r="A123" s="49"/>
      <c r="B123" s="49"/>
      <c r="C123" s="49"/>
      <c r="D123" s="50"/>
      <c r="S123" s="19"/>
      <c r="T123" s="19"/>
      <c r="U123" s="19"/>
      <c r="V123" s="19"/>
    </row>
    <row r="124" ht="12.0" customHeight="1">
      <c r="A124" s="49"/>
      <c r="B124" s="49"/>
      <c r="C124" s="49"/>
      <c r="D124" s="50"/>
      <c r="S124" s="19"/>
      <c r="T124" s="19"/>
      <c r="U124" s="19"/>
      <c r="V124" s="19"/>
    </row>
    <row r="125" ht="12.0" customHeight="1">
      <c r="A125" s="49"/>
      <c r="B125" s="49"/>
      <c r="C125" s="49"/>
      <c r="D125" s="50"/>
      <c r="S125" s="19"/>
      <c r="T125" s="19"/>
      <c r="U125" s="19"/>
      <c r="V125" s="19"/>
    </row>
    <row r="126" ht="12.0" customHeight="1">
      <c r="A126" s="49"/>
      <c r="B126" s="49"/>
      <c r="C126" s="49"/>
      <c r="D126" s="50"/>
      <c r="S126" s="19"/>
      <c r="T126" s="19"/>
      <c r="U126" s="19"/>
      <c r="V126" s="19"/>
    </row>
    <row r="127" ht="12.0" customHeight="1">
      <c r="A127" s="49"/>
      <c r="B127" s="49"/>
      <c r="C127" s="49"/>
      <c r="D127" s="50"/>
      <c r="S127" s="19"/>
      <c r="T127" s="19"/>
      <c r="U127" s="19"/>
      <c r="V127" s="19"/>
    </row>
    <row r="128" ht="12.0" customHeight="1">
      <c r="A128" s="49"/>
      <c r="B128" s="49"/>
      <c r="C128" s="49"/>
      <c r="D128" s="50"/>
      <c r="S128" s="19"/>
      <c r="T128" s="19"/>
      <c r="U128" s="19"/>
      <c r="V128" s="19"/>
    </row>
    <row r="129" ht="12.0" customHeight="1">
      <c r="A129" s="49"/>
      <c r="B129" s="49"/>
      <c r="C129" s="49"/>
      <c r="D129" s="50"/>
      <c r="S129" s="19"/>
      <c r="T129" s="19"/>
      <c r="U129" s="19"/>
      <c r="V129" s="19"/>
    </row>
    <row r="130" ht="12.0" customHeight="1">
      <c r="A130" s="49"/>
      <c r="B130" s="49"/>
      <c r="C130" s="49"/>
      <c r="D130" s="50"/>
      <c r="S130" s="19"/>
      <c r="T130" s="19"/>
      <c r="U130" s="19"/>
      <c r="V130" s="19"/>
    </row>
    <row r="131" ht="12.0" customHeight="1">
      <c r="A131" s="49"/>
      <c r="B131" s="49"/>
      <c r="C131" s="49"/>
      <c r="D131" s="50"/>
      <c r="S131" s="19"/>
      <c r="T131" s="19"/>
      <c r="U131" s="19"/>
      <c r="V131" s="19"/>
    </row>
    <row r="132" ht="12.0" customHeight="1">
      <c r="A132" s="49"/>
      <c r="B132" s="49"/>
      <c r="C132" s="49"/>
      <c r="D132" s="50"/>
      <c r="S132" s="19"/>
      <c r="T132" s="19"/>
      <c r="U132" s="19"/>
      <c r="V132" s="19"/>
    </row>
    <row r="133" ht="12.0" customHeight="1">
      <c r="A133" s="49"/>
      <c r="B133" s="49"/>
      <c r="C133" s="49"/>
      <c r="D133" s="50"/>
      <c r="S133" s="19"/>
      <c r="T133" s="19"/>
      <c r="U133" s="19"/>
      <c r="V133" s="19"/>
    </row>
    <row r="134" ht="12.0" customHeight="1">
      <c r="A134" s="49"/>
      <c r="B134" s="49"/>
      <c r="C134" s="49"/>
      <c r="D134" s="50"/>
      <c r="S134" s="19"/>
      <c r="T134" s="19"/>
      <c r="U134" s="19"/>
      <c r="V134" s="19"/>
    </row>
    <row r="135" ht="12.0" customHeight="1">
      <c r="A135" s="49"/>
      <c r="B135" s="49"/>
      <c r="C135" s="49"/>
      <c r="D135" s="50"/>
      <c r="S135" s="19"/>
      <c r="T135" s="19"/>
      <c r="U135" s="19"/>
      <c r="V135" s="19"/>
    </row>
    <row r="136" ht="12.0" customHeight="1">
      <c r="A136" s="49"/>
      <c r="B136" s="49"/>
      <c r="C136" s="49"/>
      <c r="D136" s="50"/>
      <c r="S136" s="19"/>
      <c r="T136" s="19"/>
      <c r="U136" s="19"/>
      <c r="V136" s="19"/>
    </row>
    <row r="137" ht="12.0" customHeight="1">
      <c r="A137" s="49"/>
      <c r="B137" s="49"/>
      <c r="C137" s="49"/>
      <c r="D137" s="50"/>
      <c r="S137" s="19"/>
      <c r="T137" s="19"/>
      <c r="U137" s="19"/>
      <c r="V137" s="19"/>
    </row>
    <row r="138" ht="12.0" customHeight="1">
      <c r="A138" s="49"/>
      <c r="B138" s="49"/>
      <c r="C138" s="49"/>
      <c r="D138" s="50"/>
      <c r="S138" s="19"/>
      <c r="T138" s="19"/>
      <c r="U138" s="19"/>
      <c r="V138" s="19"/>
    </row>
    <row r="139" ht="12.0" customHeight="1">
      <c r="A139" s="49"/>
      <c r="B139" s="49"/>
      <c r="C139" s="49"/>
      <c r="D139" s="50"/>
      <c r="S139" s="19"/>
      <c r="T139" s="19"/>
      <c r="U139" s="19"/>
      <c r="V139" s="19"/>
    </row>
    <row r="140" ht="12.0" customHeight="1">
      <c r="A140" s="49"/>
      <c r="B140" s="49"/>
      <c r="C140" s="49"/>
      <c r="D140" s="50"/>
      <c r="S140" s="19"/>
      <c r="T140" s="19"/>
      <c r="U140" s="19"/>
      <c r="V140" s="19"/>
    </row>
    <row r="141" ht="12.0" customHeight="1">
      <c r="A141" s="49"/>
      <c r="B141" s="49"/>
      <c r="C141" s="49"/>
      <c r="D141" s="50"/>
      <c r="S141" s="19"/>
      <c r="T141" s="19"/>
      <c r="U141" s="19"/>
      <c r="V141" s="19"/>
    </row>
    <row r="142" ht="12.0" customHeight="1">
      <c r="A142" s="49"/>
      <c r="B142" s="49"/>
      <c r="C142" s="49"/>
      <c r="D142" s="50"/>
      <c r="S142" s="19"/>
      <c r="T142" s="19"/>
      <c r="U142" s="19"/>
      <c r="V142" s="19"/>
    </row>
    <row r="143" ht="12.0" customHeight="1">
      <c r="A143" s="49"/>
      <c r="B143" s="49"/>
      <c r="C143" s="49"/>
      <c r="D143" s="50"/>
      <c r="S143" s="19"/>
      <c r="T143" s="19"/>
      <c r="U143" s="19"/>
      <c r="V143" s="19"/>
    </row>
    <row r="144" ht="12.0" customHeight="1">
      <c r="A144" s="49"/>
      <c r="B144" s="49"/>
      <c r="C144" s="49"/>
      <c r="D144" s="50"/>
      <c r="S144" s="19"/>
      <c r="T144" s="19"/>
      <c r="U144" s="19"/>
      <c r="V144" s="19"/>
    </row>
    <row r="145" ht="12.0" customHeight="1">
      <c r="A145" s="49"/>
      <c r="B145" s="49"/>
      <c r="C145" s="49"/>
      <c r="D145" s="50"/>
      <c r="S145" s="19"/>
      <c r="T145" s="19"/>
      <c r="U145" s="19"/>
      <c r="V145" s="19"/>
    </row>
    <row r="146" ht="12.0" customHeight="1">
      <c r="A146" s="49"/>
      <c r="B146" s="49"/>
      <c r="C146" s="49"/>
      <c r="D146" s="50"/>
      <c r="S146" s="19"/>
      <c r="T146" s="19"/>
      <c r="U146" s="19"/>
      <c r="V146" s="19"/>
    </row>
    <row r="147" ht="12.0" customHeight="1">
      <c r="A147" s="49"/>
      <c r="B147" s="49"/>
      <c r="C147" s="49"/>
      <c r="D147" s="50"/>
      <c r="S147" s="19"/>
      <c r="T147" s="19"/>
      <c r="U147" s="19"/>
      <c r="V147" s="19"/>
    </row>
    <row r="148" ht="12.0" customHeight="1">
      <c r="A148" s="49"/>
      <c r="B148" s="49"/>
      <c r="C148" s="49"/>
      <c r="D148" s="50"/>
      <c r="S148" s="19"/>
      <c r="T148" s="19"/>
      <c r="U148" s="19"/>
      <c r="V148" s="19"/>
    </row>
    <row r="149" ht="12.0" customHeight="1">
      <c r="A149" s="49"/>
      <c r="B149" s="49"/>
      <c r="C149" s="49"/>
      <c r="D149" s="50"/>
      <c r="S149" s="19"/>
      <c r="T149" s="19"/>
      <c r="U149" s="19"/>
      <c r="V149" s="19"/>
    </row>
    <row r="150" ht="12.0" customHeight="1">
      <c r="A150" s="49"/>
      <c r="B150" s="49"/>
      <c r="C150" s="49"/>
      <c r="D150" s="50"/>
      <c r="S150" s="19"/>
      <c r="T150" s="19"/>
      <c r="U150" s="19"/>
      <c r="V150" s="19"/>
    </row>
    <row r="151" ht="12.0" customHeight="1">
      <c r="A151" s="49"/>
      <c r="B151" s="49"/>
      <c r="C151" s="49"/>
      <c r="D151" s="50"/>
      <c r="S151" s="19"/>
      <c r="T151" s="19"/>
      <c r="U151" s="19"/>
      <c r="V151" s="19"/>
    </row>
    <row r="152" ht="12.0" customHeight="1">
      <c r="A152" s="49"/>
      <c r="B152" s="49"/>
      <c r="C152" s="49"/>
      <c r="D152" s="50"/>
      <c r="S152" s="19"/>
      <c r="T152" s="19"/>
      <c r="U152" s="19"/>
      <c r="V152" s="19"/>
    </row>
    <row r="153" ht="12.0" customHeight="1">
      <c r="A153" s="49"/>
      <c r="B153" s="49"/>
      <c r="C153" s="49"/>
      <c r="D153" s="50"/>
      <c r="S153" s="19"/>
      <c r="T153" s="19"/>
      <c r="U153" s="19"/>
      <c r="V153" s="19"/>
    </row>
    <row r="154" ht="12.0" customHeight="1">
      <c r="A154" s="49"/>
      <c r="B154" s="49"/>
      <c r="C154" s="49"/>
      <c r="D154" s="50"/>
      <c r="S154" s="19"/>
      <c r="T154" s="19"/>
      <c r="U154" s="19"/>
      <c r="V154" s="19"/>
    </row>
    <row r="155" ht="12.0" customHeight="1">
      <c r="A155" s="49"/>
      <c r="B155" s="49"/>
      <c r="C155" s="49"/>
      <c r="D155" s="50"/>
      <c r="S155" s="19"/>
      <c r="T155" s="19"/>
      <c r="U155" s="19"/>
      <c r="V155" s="19"/>
    </row>
    <row r="156" ht="12.0" customHeight="1">
      <c r="A156" s="49"/>
      <c r="B156" s="49"/>
      <c r="C156" s="49"/>
      <c r="D156" s="50"/>
      <c r="S156" s="19"/>
      <c r="T156" s="19"/>
      <c r="U156" s="19"/>
      <c r="V156" s="19"/>
    </row>
    <row r="157" ht="12.0" customHeight="1">
      <c r="A157" s="49"/>
      <c r="B157" s="49"/>
      <c r="C157" s="49"/>
      <c r="D157" s="50"/>
      <c r="S157" s="19"/>
      <c r="T157" s="19"/>
      <c r="U157" s="19"/>
      <c r="V157" s="19"/>
    </row>
    <row r="158" ht="12.0" customHeight="1">
      <c r="A158" s="49"/>
      <c r="B158" s="49"/>
      <c r="C158" s="49"/>
      <c r="D158" s="50"/>
      <c r="S158" s="19"/>
      <c r="T158" s="19"/>
      <c r="U158" s="19"/>
      <c r="V158" s="19"/>
    </row>
    <row r="159" ht="12.0" customHeight="1">
      <c r="A159" s="49"/>
      <c r="B159" s="49"/>
      <c r="C159" s="49"/>
      <c r="D159" s="50"/>
      <c r="S159" s="19"/>
      <c r="T159" s="19"/>
      <c r="U159" s="19"/>
      <c r="V159" s="19"/>
    </row>
    <row r="160" ht="12.0" customHeight="1">
      <c r="A160" s="49"/>
      <c r="B160" s="49"/>
      <c r="C160" s="49"/>
      <c r="D160" s="50"/>
      <c r="S160" s="19"/>
      <c r="T160" s="19"/>
      <c r="U160" s="19"/>
      <c r="V160" s="19"/>
    </row>
    <row r="161" ht="12.0" customHeight="1">
      <c r="A161" s="49"/>
      <c r="B161" s="49"/>
      <c r="C161" s="49"/>
      <c r="D161" s="50"/>
      <c r="S161" s="19"/>
      <c r="T161" s="19"/>
      <c r="U161" s="19"/>
      <c r="V161" s="19"/>
    </row>
    <row r="162" ht="12.0" customHeight="1">
      <c r="A162" s="49"/>
      <c r="B162" s="49"/>
      <c r="C162" s="49"/>
      <c r="D162" s="50"/>
      <c r="S162" s="19"/>
      <c r="T162" s="19"/>
      <c r="U162" s="19"/>
      <c r="V162" s="19"/>
    </row>
    <row r="163" ht="12.0" customHeight="1">
      <c r="A163" s="49"/>
      <c r="B163" s="49"/>
      <c r="C163" s="49"/>
      <c r="D163" s="50"/>
      <c r="S163" s="19"/>
      <c r="T163" s="19"/>
      <c r="U163" s="19"/>
      <c r="V163" s="19"/>
    </row>
    <row r="164" ht="12.0" customHeight="1">
      <c r="A164" s="49"/>
      <c r="B164" s="49"/>
      <c r="C164" s="49"/>
      <c r="D164" s="50"/>
      <c r="S164" s="19"/>
      <c r="T164" s="19"/>
      <c r="U164" s="19"/>
      <c r="V164" s="19"/>
    </row>
    <row r="165" ht="12.0" customHeight="1">
      <c r="A165" s="49"/>
      <c r="B165" s="49"/>
      <c r="C165" s="49"/>
      <c r="D165" s="50"/>
      <c r="S165" s="19"/>
      <c r="T165" s="19"/>
      <c r="U165" s="19"/>
      <c r="V165" s="19"/>
    </row>
    <row r="166" ht="12.0" customHeight="1">
      <c r="A166" s="49"/>
      <c r="B166" s="49"/>
      <c r="C166" s="49"/>
      <c r="D166" s="50"/>
      <c r="S166" s="19"/>
      <c r="T166" s="19"/>
      <c r="U166" s="19"/>
      <c r="V166" s="19"/>
    </row>
    <row r="167" ht="12.0" customHeight="1">
      <c r="A167" s="49"/>
      <c r="B167" s="49"/>
      <c r="C167" s="49"/>
      <c r="D167" s="50"/>
      <c r="S167" s="19"/>
      <c r="T167" s="19"/>
      <c r="U167" s="19"/>
      <c r="V167" s="19"/>
    </row>
    <row r="168" ht="12.0" customHeight="1">
      <c r="A168" s="49"/>
      <c r="B168" s="49"/>
      <c r="C168" s="49"/>
      <c r="D168" s="50"/>
      <c r="S168" s="19"/>
      <c r="T168" s="19"/>
      <c r="U168" s="19"/>
      <c r="V168" s="19"/>
    </row>
    <row r="169" ht="12.0" customHeight="1">
      <c r="A169" s="49"/>
      <c r="B169" s="49"/>
      <c r="C169" s="49"/>
      <c r="D169" s="50"/>
      <c r="S169" s="19"/>
      <c r="T169" s="19"/>
      <c r="U169" s="19"/>
      <c r="V169" s="19"/>
    </row>
    <row r="170" ht="12.0" customHeight="1">
      <c r="A170" s="49"/>
      <c r="B170" s="49"/>
      <c r="C170" s="49"/>
      <c r="D170" s="50"/>
      <c r="S170" s="19"/>
      <c r="T170" s="19"/>
      <c r="U170" s="19"/>
      <c r="V170" s="19"/>
    </row>
    <row r="171" ht="12.0" customHeight="1">
      <c r="A171" s="49"/>
      <c r="B171" s="49"/>
      <c r="C171" s="49"/>
      <c r="D171" s="50"/>
      <c r="S171" s="19"/>
      <c r="T171" s="19"/>
      <c r="U171" s="19"/>
      <c r="V171" s="19"/>
    </row>
    <row r="172" ht="12.0" customHeight="1">
      <c r="A172" s="49"/>
      <c r="B172" s="49"/>
      <c r="C172" s="49"/>
      <c r="D172" s="50"/>
      <c r="S172" s="19"/>
      <c r="T172" s="19"/>
      <c r="U172" s="19"/>
      <c r="V172" s="19"/>
    </row>
    <row r="173" ht="12.0" customHeight="1">
      <c r="A173" s="49"/>
      <c r="B173" s="49"/>
      <c r="C173" s="49"/>
      <c r="D173" s="50"/>
      <c r="S173" s="19"/>
      <c r="T173" s="19"/>
      <c r="U173" s="19"/>
      <c r="V173" s="19"/>
    </row>
    <row r="174" ht="12.0" customHeight="1">
      <c r="A174" s="49"/>
      <c r="B174" s="49"/>
      <c r="C174" s="49"/>
      <c r="D174" s="50"/>
      <c r="S174" s="19"/>
      <c r="T174" s="19"/>
      <c r="U174" s="19"/>
      <c r="V174" s="19"/>
    </row>
    <row r="175" ht="12.0" customHeight="1">
      <c r="A175" s="49"/>
      <c r="B175" s="49"/>
      <c r="C175" s="49"/>
      <c r="D175" s="50"/>
      <c r="S175" s="19"/>
      <c r="T175" s="19"/>
      <c r="U175" s="19"/>
      <c r="V175" s="19"/>
    </row>
    <row r="176" ht="12.0" customHeight="1">
      <c r="A176" s="49"/>
      <c r="B176" s="49"/>
      <c r="C176" s="49"/>
      <c r="D176" s="50"/>
      <c r="S176" s="19"/>
      <c r="T176" s="19"/>
      <c r="U176" s="19"/>
      <c r="V176" s="19"/>
    </row>
    <row r="177" ht="12.0" customHeight="1">
      <c r="A177" s="49"/>
      <c r="B177" s="49"/>
      <c r="C177" s="49"/>
      <c r="D177" s="50"/>
      <c r="S177" s="19"/>
      <c r="T177" s="19"/>
      <c r="U177" s="19"/>
      <c r="V177" s="19"/>
    </row>
    <row r="178" ht="12.0" customHeight="1">
      <c r="A178" s="49"/>
      <c r="B178" s="49"/>
      <c r="C178" s="49"/>
      <c r="D178" s="50"/>
      <c r="S178" s="19"/>
      <c r="T178" s="19"/>
      <c r="U178" s="19"/>
      <c r="V178" s="19"/>
    </row>
    <row r="179" ht="12.0" customHeight="1">
      <c r="A179" s="49"/>
      <c r="B179" s="49"/>
      <c r="C179" s="49"/>
      <c r="D179" s="50"/>
      <c r="S179" s="19"/>
      <c r="T179" s="19"/>
      <c r="U179" s="19"/>
      <c r="V179" s="19"/>
    </row>
    <row r="180" ht="12.0" customHeight="1">
      <c r="A180" s="49"/>
      <c r="B180" s="49"/>
      <c r="C180" s="49"/>
      <c r="D180" s="50"/>
      <c r="S180" s="19"/>
      <c r="T180" s="19"/>
      <c r="U180" s="19"/>
      <c r="V180" s="19"/>
    </row>
    <row r="181" ht="12.0" customHeight="1">
      <c r="A181" s="49"/>
      <c r="B181" s="49"/>
      <c r="C181" s="49"/>
      <c r="D181" s="50"/>
      <c r="S181" s="19"/>
      <c r="T181" s="19"/>
      <c r="U181" s="19"/>
      <c r="V181" s="19"/>
    </row>
    <row r="182" ht="12.0" customHeight="1">
      <c r="A182" s="49"/>
      <c r="B182" s="49"/>
      <c r="C182" s="49"/>
      <c r="D182" s="50"/>
      <c r="S182" s="19"/>
      <c r="T182" s="19"/>
      <c r="U182" s="19"/>
      <c r="V182" s="19"/>
    </row>
    <row r="183" ht="12.0" customHeight="1">
      <c r="A183" s="49"/>
      <c r="B183" s="49"/>
      <c r="C183" s="49"/>
      <c r="D183" s="50"/>
      <c r="S183" s="19"/>
      <c r="T183" s="19"/>
      <c r="U183" s="19"/>
      <c r="V183" s="19"/>
    </row>
    <row r="184" ht="12.0" customHeight="1">
      <c r="A184" s="49"/>
      <c r="B184" s="49"/>
      <c r="C184" s="49"/>
      <c r="D184" s="50"/>
      <c r="S184" s="19"/>
      <c r="T184" s="19"/>
      <c r="U184" s="19"/>
      <c r="V184" s="19"/>
    </row>
    <row r="185" ht="12.0" customHeight="1">
      <c r="A185" s="49"/>
      <c r="B185" s="49"/>
      <c r="C185" s="49"/>
      <c r="D185" s="50"/>
      <c r="S185" s="19"/>
      <c r="T185" s="19"/>
      <c r="U185" s="19"/>
      <c r="V185" s="19"/>
    </row>
    <row r="186" ht="12.0" customHeight="1">
      <c r="A186" s="49"/>
      <c r="B186" s="49"/>
      <c r="C186" s="49"/>
      <c r="D186" s="50"/>
      <c r="S186" s="19"/>
      <c r="T186" s="19"/>
      <c r="U186" s="19"/>
      <c r="V186" s="19"/>
    </row>
    <row r="187" ht="12.0" customHeight="1">
      <c r="A187" s="49"/>
      <c r="B187" s="49"/>
      <c r="C187" s="49"/>
      <c r="D187" s="50"/>
      <c r="S187" s="19"/>
      <c r="T187" s="19"/>
      <c r="U187" s="19"/>
      <c r="V187" s="19"/>
    </row>
    <row r="188" ht="12.0" customHeight="1">
      <c r="A188" s="49"/>
      <c r="B188" s="49"/>
      <c r="C188" s="49"/>
      <c r="D188" s="50"/>
      <c r="S188" s="19"/>
      <c r="T188" s="19"/>
      <c r="U188" s="19"/>
      <c r="V188" s="19"/>
    </row>
    <row r="189" ht="12.0" customHeight="1">
      <c r="A189" s="49"/>
      <c r="B189" s="49"/>
      <c r="C189" s="49"/>
      <c r="D189" s="50"/>
      <c r="S189" s="19"/>
      <c r="T189" s="19"/>
      <c r="U189" s="19"/>
      <c r="V189" s="19"/>
    </row>
    <row r="190" ht="12.0" customHeight="1">
      <c r="A190" s="49"/>
      <c r="B190" s="49"/>
      <c r="C190" s="49"/>
      <c r="D190" s="50"/>
      <c r="S190" s="19"/>
      <c r="T190" s="19"/>
      <c r="U190" s="19"/>
      <c r="V190" s="19"/>
    </row>
    <row r="191" ht="12.0" customHeight="1">
      <c r="A191" s="49"/>
      <c r="B191" s="49"/>
      <c r="C191" s="49"/>
      <c r="D191" s="50"/>
      <c r="S191" s="19"/>
      <c r="T191" s="19"/>
      <c r="U191" s="19"/>
      <c r="V191" s="19"/>
    </row>
    <row r="192" ht="12.0" customHeight="1">
      <c r="A192" s="49"/>
      <c r="B192" s="49"/>
      <c r="C192" s="49"/>
      <c r="D192" s="50"/>
      <c r="S192" s="19"/>
      <c r="T192" s="19"/>
      <c r="U192" s="19"/>
      <c r="V192" s="19"/>
    </row>
    <row r="193" ht="12.0" customHeight="1">
      <c r="A193" s="49"/>
      <c r="B193" s="49"/>
      <c r="C193" s="49"/>
      <c r="D193" s="50"/>
      <c r="S193" s="19"/>
      <c r="T193" s="19"/>
      <c r="U193" s="19"/>
      <c r="V193" s="19"/>
    </row>
    <row r="194" ht="12.0" customHeight="1">
      <c r="A194" s="49"/>
      <c r="B194" s="49"/>
      <c r="C194" s="49"/>
      <c r="D194" s="50"/>
      <c r="S194" s="19"/>
      <c r="T194" s="19"/>
      <c r="U194" s="19"/>
      <c r="V194" s="19"/>
    </row>
    <row r="195" ht="12.0" customHeight="1">
      <c r="A195" s="49"/>
      <c r="B195" s="49"/>
      <c r="C195" s="49"/>
      <c r="D195" s="50"/>
      <c r="S195" s="19"/>
      <c r="T195" s="19"/>
      <c r="U195" s="19"/>
      <c r="V195" s="19"/>
    </row>
    <row r="196" ht="12.0" customHeight="1">
      <c r="A196" s="49"/>
      <c r="B196" s="49"/>
      <c r="C196" s="49"/>
      <c r="D196" s="50"/>
      <c r="S196" s="19"/>
      <c r="T196" s="19"/>
      <c r="U196" s="19"/>
      <c r="V196" s="19"/>
    </row>
    <row r="197" ht="12.0" customHeight="1">
      <c r="A197" s="49"/>
      <c r="B197" s="49"/>
      <c r="C197" s="49"/>
      <c r="D197" s="50"/>
      <c r="S197" s="19"/>
      <c r="T197" s="19"/>
      <c r="U197" s="19"/>
      <c r="V197" s="19"/>
    </row>
    <row r="198" ht="12.0" customHeight="1">
      <c r="A198" s="49"/>
      <c r="B198" s="49"/>
      <c r="C198" s="49"/>
      <c r="D198" s="50"/>
      <c r="S198" s="19"/>
      <c r="T198" s="19"/>
      <c r="U198" s="19"/>
      <c r="V198" s="19"/>
    </row>
    <row r="199" ht="12.0" customHeight="1">
      <c r="A199" s="49"/>
      <c r="B199" s="49"/>
      <c r="C199" s="49"/>
      <c r="D199" s="50"/>
      <c r="S199" s="19"/>
      <c r="T199" s="19"/>
      <c r="U199" s="19"/>
      <c r="V199" s="19"/>
    </row>
    <row r="200" ht="12.0" customHeight="1">
      <c r="A200" s="49"/>
      <c r="B200" s="49"/>
      <c r="C200" s="49"/>
      <c r="D200" s="50"/>
      <c r="S200" s="19"/>
      <c r="T200" s="19"/>
      <c r="U200" s="19"/>
      <c r="V200" s="19"/>
    </row>
    <row r="201" ht="12.0" customHeight="1">
      <c r="A201" s="49"/>
      <c r="B201" s="49"/>
      <c r="C201" s="49"/>
      <c r="D201" s="50"/>
      <c r="S201" s="19"/>
      <c r="T201" s="19"/>
      <c r="U201" s="19"/>
      <c r="V201" s="19"/>
    </row>
    <row r="202" ht="12.0" customHeight="1">
      <c r="A202" s="49"/>
      <c r="B202" s="49"/>
      <c r="C202" s="49"/>
      <c r="D202" s="50"/>
      <c r="S202" s="19"/>
      <c r="T202" s="19"/>
      <c r="U202" s="19"/>
      <c r="V202" s="19"/>
    </row>
    <row r="203" ht="12.0" customHeight="1">
      <c r="A203" s="49"/>
      <c r="B203" s="49"/>
      <c r="C203" s="49"/>
      <c r="D203" s="50"/>
      <c r="S203" s="19"/>
      <c r="T203" s="19"/>
      <c r="U203" s="19"/>
      <c r="V203" s="19"/>
    </row>
    <row r="204" ht="12.0" customHeight="1">
      <c r="A204" s="49"/>
      <c r="B204" s="49"/>
      <c r="C204" s="49"/>
      <c r="D204" s="50"/>
      <c r="S204" s="19"/>
      <c r="T204" s="19"/>
      <c r="U204" s="19"/>
      <c r="V204" s="19"/>
    </row>
    <row r="205" ht="12.0" customHeight="1">
      <c r="A205" s="49"/>
      <c r="B205" s="49"/>
      <c r="C205" s="49"/>
      <c r="D205" s="50"/>
      <c r="S205" s="19"/>
      <c r="T205" s="19"/>
      <c r="U205" s="19"/>
      <c r="V205" s="19"/>
    </row>
    <row r="206" ht="12.0" customHeight="1">
      <c r="A206" s="49"/>
      <c r="B206" s="49"/>
      <c r="C206" s="49"/>
      <c r="D206" s="50"/>
      <c r="S206" s="19"/>
      <c r="T206" s="19"/>
      <c r="U206" s="19"/>
      <c r="V206" s="19"/>
    </row>
    <row r="207" ht="12.0" customHeight="1">
      <c r="A207" s="49"/>
      <c r="B207" s="49"/>
      <c r="C207" s="49"/>
      <c r="D207" s="50"/>
      <c r="S207" s="19"/>
      <c r="T207" s="19"/>
      <c r="U207" s="19"/>
      <c r="V207" s="19"/>
    </row>
    <row r="208" ht="12.0" customHeight="1">
      <c r="A208" s="49"/>
      <c r="B208" s="49"/>
      <c r="C208" s="49"/>
      <c r="D208" s="50"/>
      <c r="S208" s="19"/>
      <c r="T208" s="19"/>
      <c r="U208" s="19"/>
      <c r="V208" s="19"/>
    </row>
    <row r="209" ht="12.0" customHeight="1">
      <c r="A209" s="49"/>
      <c r="B209" s="49"/>
      <c r="C209" s="49"/>
      <c r="D209" s="50"/>
      <c r="S209" s="19"/>
      <c r="T209" s="19"/>
      <c r="U209" s="19"/>
      <c r="V209" s="19"/>
    </row>
    <row r="210" ht="12.0" customHeight="1">
      <c r="A210" s="49"/>
      <c r="B210" s="49"/>
      <c r="C210" s="49"/>
      <c r="D210" s="50"/>
      <c r="S210" s="19"/>
      <c r="T210" s="19"/>
      <c r="U210" s="19"/>
      <c r="V210" s="19"/>
    </row>
    <row r="211" ht="12.0" customHeight="1">
      <c r="A211" s="49"/>
      <c r="B211" s="49"/>
      <c r="C211" s="49"/>
      <c r="D211" s="50"/>
      <c r="S211" s="19"/>
      <c r="T211" s="19"/>
      <c r="U211" s="19"/>
      <c r="V211" s="19"/>
    </row>
    <row r="212" ht="12.0" customHeight="1">
      <c r="A212" s="49"/>
      <c r="B212" s="49"/>
      <c r="C212" s="49"/>
      <c r="D212" s="50"/>
      <c r="S212" s="19"/>
      <c r="T212" s="19"/>
      <c r="U212" s="19"/>
      <c r="V212" s="19"/>
    </row>
    <row r="213" ht="12.0" customHeight="1">
      <c r="A213" s="49"/>
      <c r="B213" s="49"/>
      <c r="C213" s="49"/>
      <c r="D213" s="50"/>
      <c r="S213" s="19"/>
      <c r="T213" s="19"/>
      <c r="U213" s="19"/>
      <c r="V213" s="19"/>
    </row>
    <row r="214" ht="12.0" customHeight="1">
      <c r="A214" s="49"/>
      <c r="B214" s="49"/>
      <c r="C214" s="49"/>
      <c r="D214" s="50"/>
      <c r="S214" s="19"/>
      <c r="T214" s="19"/>
      <c r="U214" s="19"/>
      <c r="V214" s="19"/>
    </row>
    <row r="215" ht="12.0" customHeight="1">
      <c r="A215" s="49"/>
      <c r="B215" s="49"/>
      <c r="C215" s="49"/>
      <c r="D215" s="50"/>
      <c r="S215" s="19"/>
      <c r="T215" s="19"/>
      <c r="U215" s="19"/>
      <c r="V215" s="19"/>
    </row>
    <row r="216" ht="12.0" customHeight="1">
      <c r="A216" s="49"/>
      <c r="B216" s="49"/>
      <c r="C216" s="49"/>
      <c r="D216" s="50"/>
      <c r="S216" s="19"/>
      <c r="T216" s="19"/>
      <c r="U216" s="19"/>
      <c r="V216" s="19"/>
    </row>
    <row r="217" ht="12.0" customHeight="1">
      <c r="A217" s="49"/>
      <c r="B217" s="49"/>
      <c r="C217" s="49"/>
      <c r="D217" s="50"/>
      <c r="S217" s="19"/>
      <c r="T217" s="19"/>
      <c r="U217" s="19"/>
      <c r="V217" s="19"/>
    </row>
    <row r="218" ht="12.0" customHeight="1">
      <c r="A218" s="49"/>
      <c r="B218" s="49"/>
      <c r="C218" s="49"/>
      <c r="D218" s="50"/>
      <c r="S218" s="19"/>
      <c r="T218" s="19"/>
      <c r="U218" s="19"/>
      <c r="V218" s="19"/>
    </row>
    <row r="219" ht="12.0" customHeight="1">
      <c r="A219" s="49"/>
      <c r="B219" s="49"/>
      <c r="C219" s="49"/>
      <c r="D219" s="50"/>
      <c r="S219" s="19"/>
      <c r="T219" s="19"/>
      <c r="U219" s="19"/>
      <c r="V219" s="19"/>
    </row>
    <row r="220" ht="12.0" customHeight="1">
      <c r="A220" s="49"/>
      <c r="B220" s="49"/>
      <c r="C220" s="49"/>
      <c r="D220" s="50"/>
      <c r="S220" s="19"/>
      <c r="T220" s="19"/>
      <c r="U220" s="19"/>
      <c r="V220" s="19"/>
    </row>
    <row r="221" ht="12.0" customHeight="1">
      <c r="A221" s="49"/>
      <c r="B221" s="49"/>
      <c r="C221" s="49"/>
      <c r="D221" s="50"/>
      <c r="S221" s="19"/>
      <c r="T221" s="19"/>
      <c r="U221" s="19"/>
      <c r="V221" s="19"/>
    </row>
    <row r="222" ht="12.0" customHeight="1">
      <c r="A222" s="49"/>
      <c r="B222" s="49"/>
      <c r="C222" s="49"/>
      <c r="D222" s="50"/>
      <c r="S222" s="19"/>
      <c r="T222" s="19"/>
      <c r="U222" s="19"/>
      <c r="V222" s="19"/>
    </row>
    <row r="223" ht="12.0" customHeight="1">
      <c r="A223" s="49"/>
      <c r="B223" s="49"/>
      <c r="C223" s="49"/>
      <c r="D223" s="50"/>
      <c r="S223" s="19"/>
      <c r="T223" s="19"/>
      <c r="U223" s="19"/>
      <c r="V223" s="19"/>
    </row>
    <row r="224" ht="12.0" customHeight="1">
      <c r="A224" s="49"/>
      <c r="B224" s="49"/>
      <c r="C224" s="49"/>
      <c r="D224" s="50"/>
      <c r="S224" s="19"/>
      <c r="T224" s="19"/>
      <c r="U224" s="19"/>
      <c r="V224" s="19"/>
    </row>
    <row r="225" ht="12.0" customHeight="1">
      <c r="A225" s="49"/>
      <c r="B225" s="49"/>
      <c r="C225" s="49"/>
      <c r="D225" s="50"/>
      <c r="S225" s="19"/>
      <c r="T225" s="19"/>
      <c r="U225" s="19"/>
      <c r="V225" s="19"/>
    </row>
    <row r="226" ht="12.0" customHeight="1">
      <c r="A226" s="49"/>
      <c r="B226" s="49"/>
      <c r="C226" s="49"/>
      <c r="D226" s="50"/>
      <c r="S226" s="19"/>
      <c r="T226" s="19"/>
      <c r="U226" s="19"/>
      <c r="V226" s="19"/>
    </row>
    <row r="227" ht="12.0" customHeight="1">
      <c r="A227" s="49"/>
      <c r="B227" s="49"/>
      <c r="C227" s="49"/>
      <c r="D227" s="50"/>
      <c r="S227" s="19"/>
      <c r="T227" s="19"/>
      <c r="U227" s="19"/>
      <c r="V227" s="19"/>
    </row>
    <row r="228" ht="12.0" customHeight="1">
      <c r="A228" s="49"/>
      <c r="B228" s="49"/>
      <c r="C228" s="49"/>
      <c r="D228" s="50"/>
      <c r="S228" s="19"/>
      <c r="T228" s="19"/>
      <c r="U228" s="19"/>
      <c r="V228" s="19"/>
    </row>
    <row r="229" ht="12.0" customHeight="1">
      <c r="A229" s="49"/>
      <c r="B229" s="49"/>
      <c r="C229" s="49"/>
      <c r="D229" s="50"/>
      <c r="S229" s="19"/>
      <c r="T229" s="19"/>
      <c r="U229" s="19"/>
      <c r="V229" s="19"/>
    </row>
    <row r="230" ht="12.0" customHeight="1">
      <c r="A230" s="49"/>
      <c r="B230" s="49"/>
      <c r="C230" s="49"/>
      <c r="D230" s="50"/>
      <c r="S230" s="19"/>
      <c r="T230" s="19"/>
      <c r="U230" s="19"/>
      <c r="V230" s="19"/>
    </row>
    <row r="231" ht="12.0" customHeight="1">
      <c r="A231" s="49"/>
      <c r="B231" s="49"/>
      <c r="C231" s="49"/>
      <c r="D231" s="50"/>
      <c r="S231" s="19"/>
      <c r="T231" s="19"/>
      <c r="U231" s="19"/>
      <c r="V231" s="19"/>
    </row>
    <row r="232" ht="12.0" customHeight="1">
      <c r="A232" s="49"/>
      <c r="B232" s="49"/>
      <c r="C232" s="49"/>
      <c r="D232" s="50"/>
      <c r="S232" s="19"/>
      <c r="T232" s="19"/>
      <c r="U232" s="19"/>
      <c r="V232" s="19"/>
    </row>
    <row r="233" ht="12.0" customHeight="1">
      <c r="A233" s="49"/>
      <c r="B233" s="49"/>
      <c r="C233" s="49"/>
      <c r="D233" s="50"/>
      <c r="S233" s="19"/>
      <c r="T233" s="19"/>
      <c r="U233" s="19"/>
      <c r="V233" s="19"/>
    </row>
    <row r="234" ht="12.0" customHeight="1">
      <c r="A234" s="49"/>
      <c r="B234" s="49"/>
      <c r="C234" s="49"/>
      <c r="D234" s="50"/>
      <c r="S234" s="19"/>
      <c r="T234" s="19"/>
      <c r="U234" s="19"/>
      <c r="V234" s="19"/>
    </row>
    <row r="235" ht="12.0" customHeight="1">
      <c r="A235" s="49"/>
      <c r="B235" s="49"/>
      <c r="C235" s="49"/>
      <c r="D235" s="50"/>
      <c r="S235" s="19"/>
      <c r="T235" s="19"/>
      <c r="U235" s="19"/>
      <c r="V235" s="19"/>
    </row>
    <row r="236" ht="12.0" customHeight="1">
      <c r="A236" s="49"/>
      <c r="B236" s="49"/>
      <c r="C236" s="49"/>
      <c r="D236" s="50"/>
      <c r="S236" s="19"/>
      <c r="T236" s="19"/>
      <c r="U236" s="19"/>
      <c r="V236" s="19"/>
    </row>
    <row r="237" ht="12.0" customHeight="1">
      <c r="A237" s="49"/>
      <c r="B237" s="49"/>
      <c r="C237" s="49"/>
      <c r="D237" s="50"/>
      <c r="S237" s="19"/>
      <c r="T237" s="19"/>
      <c r="U237" s="19"/>
      <c r="V237" s="19"/>
    </row>
    <row r="238" ht="12.0" customHeight="1">
      <c r="A238" s="49"/>
      <c r="B238" s="49"/>
      <c r="C238" s="49"/>
      <c r="D238" s="50"/>
      <c r="S238" s="19"/>
      <c r="T238" s="19"/>
      <c r="U238" s="19"/>
      <c r="V238" s="19"/>
    </row>
    <row r="239" ht="12.0" customHeight="1">
      <c r="A239" s="49"/>
      <c r="B239" s="49"/>
      <c r="C239" s="49"/>
      <c r="D239" s="50"/>
      <c r="S239" s="19"/>
      <c r="T239" s="19"/>
      <c r="U239" s="19"/>
      <c r="V239" s="19"/>
    </row>
    <row r="240" ht="12.0" customHeight="1">
      <c r="A240" s="49"/>
      <c r="B240" s="49"/>
      <c r="C240" s="49"/>
      <c r="D240" s="50"/>
      <c r="S240" s="19"/>
      <c r="T240" s="19"/>
      <c r="U240" s="19"/>
      <c r="V240" s="19"/>
    </row>
    <row r="241" ht="12.0" customHeight="1">
      <c r="A241" s="49"/>
      <c r="B241" s="49"/>
      <c r="C241" s="49"/>
      <c r="D241" s="50"/>
      <c r="S241" s="19"/>
      <c r="T241" s="19"/>
      <c r="U241" s="19"/>
      <c r="V241" s="19"/>
    </row>
    <row r="242" ht="12.0" customHeight="1">
      <c r="A242" s="49"/>
      <c r="B242" s="49"/>
      <c r="C242" s="49"/>
      <c r="D242" s="50"/>
      <c r="S242" s="19"/>
      <c r="T242" s="19"/>
      <c r="U242" s="19"/>
      <c r="V242" s="19"/>
    </row>
    <row r="243" ht="12.0" customHeight="1">
      <c r="A243" s="49"/>
      <c r="B243" s="49"/>
      <c r="C243" s="49"/>
      <c r="D243" s="50"/>
      <c r="S243" s="19"/>
      <c r="T243" s="19"/>
      <c r="U243" s="19"/>
      <c r="V243" s="19"/>
    </row>
    <row r="244" ht="12.0" customHeight="1">
      <c r="A244" s="49"/>
      <c r="B244" s="49"/>
      <c r="C244" s="49"/>
      <c r="D244" s="50"/>
      <c r="S244" s="19"/>
      <c r="T244" s="19"/>
      <c r="U244" s="19"/>
      <c r="V244" s="19"/>
    </row>
    <row r="245" ht="12.0" customHeight="1">
      <c r="A245" s="49"/>
      <c r="B245" s="49"/>
      <c r="C245" s="49"/>
      <c r="D245" s="50"/>
      <c r="S245" s="19"/>
      <c r="T245" s="19"/>
      <c r="U245" s="19"/>
      <c r="V245" s="19"/>
    </row>
    <row r="246" ht="12.0" customHeight="1">
      <c r="A246" s="49"/>
      <c r="B246" s="49"/>
      <c r="C246" s="49"/>
      <c r="D246" s="50"/>
      <c r="S246" s="19"/>
      <c r="T246" s="19"/>
      <c r="U246" s="19"/>
      <c r="V246" s="19"/>
    </row>
    <row r="247" ht="12.0" customHeight="1">
      <c r="A247" s="49"/>
      <c r="B247" s="49"/>
      <c r="C247" s="49"/>
      <c r="D247" s="50"/>
      <c r="S247" s="19"/>
      <c r="T247" s="19"/>
      <c r="U247" s="19"/>
      <c r="V247" s="19"/>
    </row>
    <row r="248" ht="12.0" customHeight="1">
      <c r="A248" s="49"/>
      <c r="B248" s="49"/>
      <c r="C248" s="49"/>
      <c r="D248" s="50"/>
      <c r="S248" s="19"/>
      <c r="T248" s="19"/>
      <c r="U248" s="19"/>
      <c r="V248" s="19"/>
    </row>
    <row r="249" ht="12.0" customHeight="1">
      <c r="A249" s="49"/>
      <c r="B249" s="49"/>
      <c r="C249" s="49"/>
      <c r="D249" s="50"/>
      <c r="S249" s="19"/>
      <c r="T249" s="19"/>
      <c r="U249" s="19"/>
      <c r="V249" s="19"/>
    </row>
    <row r="250" ht="12.0" customHeight="1">
      <c r="A250" s="49"/>
      <c r="B250" s="49"/>
      <c r="C250" s="49"/>
      <c r="D250" s="50"/>
      <c r="S250" s="19"/>
      <c r="T250" s="19"/>
      <c r="U250" s="19"/>
      <c r="V250" s="19"/>
    </row>
    <row r="251" ht="12.0" customHeight="1">
      <c r="A251" s="49"/>
      <c r="B251" s="49"/>
      <c r="C251" s="49"/>
      <c r="D251" s="50"/>
      <c r="S251" s="19"/>
      <c r="T251" s="19"/>
      <c r="U251" s="19"/>
      <c r="V251" s="19"/>
    </row>
    <row r="252" ht="12.0" customHeight="1">
      <c r="A252" s="49"/>
      <c r="B252" s="49"/>
      <c r="C252" s="49"/>
      <c r="D252" s="50"/>
      <c r="S252" s="19"/>
      <c r="T252" s="19"/>
      <c r="U252" s="19"/>
      <c r="V252" s="19"/>
    </row>
    <row r="253" ht="12.0" customHeight="1">
      <c r="A253" s="49"/>
      <c r="B253" s="49"/>
      <c r="C253" s="49"/>
      <c r="D253" s="50"/>
      <c r="S253" s="19"/>
      <c r="T253" s="19"/>
      <c r="U253" s="19"/>
      <c r="V253" s="19"/>
    </row>
    <row r="254" ht="12.0" customHeight="1">
      <c r="A254" s="49"/>
      <c r="B254" s="49"/>
      <c r="C254" s="49"/>
      <c r="D254" s="50"/>
      <c r="S254" s="19"/>
      <c r="T254" s="19"/>
      <c r="U254" s="19"/>
      <c r="V254" s="19"/>
    </row>
    <row r="255" ht="12.0" customHeight="1">
      <c r="A255" s="49"/>
      <c r="B255" s="49"/>
      <c r="C255" s="49"/>
      <c r="D255" s="50"/>
      <c r="S255" s="19"/>
      <c r="T255" s="19"/>
      <c r="U255" s="19"/>
      <c r="V255" s="19"/>
    </row>
    <row r="256" ht="12.0" customHeight="1">
      <c r="A256" s="49"/>
      <c r="B256" s="49"/>
      <c r="C256" s="49"/>
      <c r="D256" s="50"/>
      <c r="S256" s="19"/>
      <c r="T256" s="19"/>
      <c r="U256" s="19"/>
      <c r="V256" s="19"/>
    </row>
    <row r="257" ht="12.0" customHeight="1">
      <c r="A257" s="49"/>
      <c r="B257" s="49"/>
      <c r="C257" s="49"/>
      <c r="D257" s="50"/>
      <c r="S257" s="19"/>
      <c r="T257" s="19"/>
      <c r="U257" s="19"/>
      <c r="V257" s="19"/>
    </row>
    <row r="258" ht="12.0" customHeight="1">
      <c r="A258" s="49"/>
      <c r="B258" s="49"/>
      <c r="C258" s="49"/>
      <c r="D258" s="50"/>
      <c r="S258" s="19"/>
      <c r="T258" s="19"/>
      <c r="U258" s="19"/>
      <c r="V258" s="19"/>
    </row>
    <row r="259" ht="12.0" customHeight="1">
      <c r="A259" s="49"/>
      <c r="B259" s="49"/>
      <c r="C259" s="49"/>
      <c r="D259" s="50"/>
      <c r="S259" s="19"/>
      <c r="T259" s="19"/>
      <c r="U259" s="19"/>
      <c r="V259" s="19"/>
    </row>
    <row r="260" ht="12.0" customHeight="1">
      <c r="A260" s="49"/>
      <c r="B260" s="49"/>
      <c r="C260" s="49"/>
      <c r="D260" s="50"/>
      <c r="S260" s="19"/>
      <c r="T260" s="19"/>
      <c r="U260" s="19"/>
      <c r="V260" s="19"/>
    </row>
    <row r="261" ht="12.0" customHeight="1">
      <c r="A261" s="49"/>
      <c r="B261" s="49"/>
      <c r="C261" s="49"/>
      <c r="D261" s="50"/>
      <c r="S261" s="19"/>
      <c r="T261" s="19"/>
      <c r="U261" s="19"/>
      <c r="V261" s="19"/>
    </row>
    <row r="262" ht="12.0" customHeight="1">
      <c r="A262" s="49"/>
      <c r="B262" s="49"/>
      <c r="C262" s="49"/>
      <c r="D262" s="50"/>
      <c r="S262" s="19"/>
      <c r="T262" s="19"/>
      <c r="U262" s="19"/>
      <c r="V262" s="19"/>
    </row>
    <row r="263" ht="12.0" customHeight="1">
      <c r="A263" s="49"/>
      <c r="B263" s="49"/>
      <c r="C263" s="49"/>
      <c r="D263" s="50"/>
      <c r="S263" s="19"/>
      <c r="T263" s="19"/>
      <c r="U263" s="19"/>
      <c r="V263" s="19"/>
    </row>
    <row r="264" ht="12.0" customHeight="1">
      <c r="A264" s="49"/>
      <c r="B264" s="49"/>
      <c r="C264" s="49"/>
      <c r="D264" s="50"/>
      <c r="S264" s="19"/>
      <c r="T264" s="19"/>
      <c r="U264" s="19"/>
      <c r="V264" s="19"/>
    </row>
    <row r="265" ht="12.0" customHeight="1">
      <c r="A265" s="49"/>
      <c r="B265" s="49"/>
      <c r="C265" s="49"/>
      <c r="D265" s="50"/>
      <c r="S265" s="19"/>
      <c r="T265" s="19"/>
      <c r="U265" s="19"/>
      <c r="V265" s="19"/>
    </row>
    <row r="266" ht="12.0" customHeight="1">
      <c r="A266" s="49"/>
      <c r="B266" s="49"/>
      <c r="C266" s="49"/>
      <c r="D266" s="50"/>
    </row>
    <row r="267" ht="12.0" customHeight="1">
      <c r="A267" s="49"/>
      <c r="B267" s="49"/>
      <c r="C267" s="49"/>
      <c r="D267" s="50"/>
    </row>
    <row r="268" ht="12.0" customHeight="1">
      <c r="A268" s="49"/>
      <c r="B268" s="49"/>
      <c r="C268" s="49"/>
      <c r="D268" s="50"/>
    </row>
    <row r="269" ht="12.0" customHeight="1">
      <c r="A269" s="49"/>
      <c r="B269" s="49"/>
      <c r="C269" s="49"/>
      <c r="D269" s="50"/>
    </row>
    <row r="270" ht="12.0" customHeight="1">
      <c r="A270" s="49"/>
      <c r="B270" s="49"/>
      <c r="C270" s="49"/>
      <c r="D270" s="50"/>
    </row>
    <row r="271" ht="12.0" customHeight="1">
      <c r="A271" s="49"/>
      <c r="B271" s="49"/>
      <c r="C271" s="49"/>
      <c r="D271" s="50"/>
    </row>
    <row r="272" ht="12.0" customHeight="1">
      <c r="A272" s="49"/>
      <c r="B272" s="49"/>
      <c r="C272" s="49"/>
      <c r="D272" s="50"/>
    </row>
    <row r="273" ht="12.0" customHeight="1">
      <c r="A273" s="49"/>
      <c r="B273" s="49"/>
      <c r="C273" s="49"/>
      <c r="D273" s="50"/>
    </row>
    <row r="274" ht="12.0" customHeight="1">
      <c r="A274" s="49"/>
      <c r="B274" s="49"/>
      <c r="C274" s="49"/>
      <c r="D274" s="50"/>
    </row>
    <row r="275" ht="12.0" customHeight="1">
      <c r="A275" s="49"/>
      <c r="B275" s="49"/>
      <c r="C275" s="49"/>
      <c r="D275" s="50"/>
    </row>
    <row r="276" ht="12.0" customHeight="1">
      <c r="A276" s="49"/>
      <c r="B276" s="49"/>
      <c r="C276" s="49"/>
      <c r="D276" s="50"/>
    </row>
    <row r="277" ht="12.0" customHeight="1">
      <c r="A277" s="49"/>
      <c r="B277" s="49"/>
      <c r="C277" s="49"/>
      <c r="D277" s="50"/>
    </row>
    <row r="278" ht="12.0" customHeight="1">
      <c r="A278" s="49"/>
      <c r="B278" s="49"/>
      <c r="C278" s="49"/>
      <c r="D278" s="50"/>
    </row>
    <row r="279" ht="12.0" customHeight="1">
      <c r="A279" s="49"/>
      <c r="B279" s="49"/>
      <c r="C279" s="49"/>
      <c r="D279" s="50"/>
    </row>
    <row r="280" ht="12.0" customHeight="1">
      <c r="A280" s="49"/>
      <c r="B280" s="49"/>
      <c r="C280" s="49"/>
      <c r="D280" s="50"/>
    </row>
    <row r="281" ht="12.0" customHeight="1">
      <c r="A281" s="49"/>
      <c r="B281" s="49"/>
      <c r="C281" s="49"/>
      <c r="D281" s="50"/>
    </row>
    <row r="282" ht="12.0" customHeight="1">
      <c r="A282" s="49"/>
      <c r="B282" s="49"/>
      <c r="C282" s="49"/>
      <c r="D282" s="50"/>
    </row>
    <row r="283" ht="12.0" customHeight="1">
      <c r="A283" s="49"/>
      <c r="B283" s="49"/>
      <c r="C283" s="49"/>
      <c r="D283" s="50"/>
    </row>
    <row r="284" ht="12.0" customHeight="1">
      <c r="A284" s="49"/>
      <c r="B284" s="49"/>
      <c r="C284" s="49"/>
      <c r="D284" s="50"/>
    </row>
    <row r="285" ht="12.0" customHeight="1">
      <c r="A285" s="49"/>
      <c r="B285" s="49"/>
      <c r="C285" s="49"/>
      <c r="D285" s="50"/>
    </row>
    <row r="286" ht="12.0" customHeight="1">
      <c r="A286" s="49"/>
      <c r="B286" s="49"/>
      <c r="C286" s="49"/>
      <c r="D286" s="50"/>
    </row>
    <row r="287" ht="12.0" customHeight="1">
      <c r="A287" s="49"/>
      <c r="B287" s="49"/>
      <c r="C287" s="49"/>
      <c r="D287" s="50"/>
    </row>
    <row r="288" ht="12.0" customHeight="1">
      <c r="A288" s="49"/>
      <c r="B288" s="49"/>
      <c r="C288" s="49"/>
      <c r="D288" s="50"/>
    </row>
    <row r="289" ht="12.0" customHeight="1">
      <c r="A289" s="49"/>
      <c r="B289" s="49"/>
      <c r="C289" s="49"/>
      <c r="D289" s="50"/>
    </row>
    <row r="290" ht="12.0" customHeight="1">
      <c r="A290" s="49"/>
      <c r="B290" s="49"/>
      <c r="C290" s="49"/>
      <c r="D290" s="50"/>
    </row>
    <row r="291" ht="12.0" customHeight="1">
      <c r="A291" s="49"/>
      <c r="B291" s="49"/>
      <c r="C291" s="49"/>
      <c r="D291" s="50"/>
    </row>
    <row r="292" ht="12.0" customHeight="1">
      <c r="A292" s="49"/>
      <c r="B292" s="49"/>
      <c r="C292" s="49"/>
      <c r="D292" s="50"/>
    </row>
    <row r="293" ht="12.0" customHeight="1">
      <c r="A293" s="49"/>
      <c r="B293" s="49"/>
      <c r="C293" s="49"/>
      <c r="D293" s="50"/>
    </row>
    <row r="294" ht="12.0" customHeight="1">
      <c r="A294" s="49"/>
      <c r="B294" s="49"/>
      <c r="C294" s="49"/>
      <c r="D294" s="50"/>
    </row>
    <row r="295" ht="12.0" customHeight="1">
      <c r="A295" s="49"/>
      <c r="B295" s="49"/>
      <c r="C295" s="49"/>
      <c r="D295" s="50"/>
    </row>
    <row r="296" ht="12.0" customHeight="1">
      <c r="A296" s="49"/>
      <c r="B296" s="49"/>
      <c r="C296" s="49"/>
      <c r="D296" s="50"/>
    </row>
    <row r="297" ht="12.0" customHeight="1">
      <c r="A297" s="49"/>
      <c r="B297" s="49"/>
      <c r="C297" s="49"/>
      <c r="D297" s="50"/>
    </row>
    <row r="298" ht="12.0" customHeight="1">
      <c r="A298" s="49"/>
      <c r="B298" s="49"/>
      <c r="C298" s="49"/>
      <c r="D298" s="50"/>
    </row>
    <row r="299" ht="12.0" customHeight="1">
      <c r="A299" s="49"/>
      <c r="B299" s="49"/>
      <c r="C299" s="49"/>
      <c r="D299" s="50"/>
    </row>
    <row r="300" ht="12.0" customHeight="1">
      <c r="A300" s="49"/>
      <c r="B300" s="49"/>
      <c r="C300" s="49"/>
      <c r="D300" s="50"/>
    </row>
    <row r="301" ht="12.0" customHeight="1">
      <c r="A301" s="49"/>
      <c r="B301" s="49"/>
      <c r="C301" s="49"/>
      <c r="D301" s="50"/>
    </row>
    <row r="302" ht="12.0" customHeight="1">
      <c r="A302" s="49"/>
      <c r="B302" s="49"/>
      <c r="C302" s="49"/>
      <c r="D302" s="50"/>
    </row>
    <row r="303" ht="12.0" customHeight="1">
      <c r="A303" s="49"/>
      <c r="B303" s="49"/>
      <c r="C303" s="49"/>
      <c r="D303" s="50"/>
    </row>
    <row r="304" ht="12.0" customHeight="1">
      <c r="A304" s="49"/>
      <c r="B304" s="49"/>
      <c r="C304" s="49"/>
      <c r="D304" s="50"/>
    </row>
    <row r="305" ht="12.0" customHeight="1">
      <c r="A305" s="49"/>
      <c r="B305" s="49"/>
      <c r="C305" s="49"/>
      <c r="D305" s="50"/>
    </row>
    <row r="306" ht="12.0" customHeight="1">
      <c r="A306" s="49"/>
      <c r="B306" s="49"/>
      <c r="C306" s="49"/>
      <c r="D306" s="50"/>
    </row>
    <row r="307" ht="12.0" customHeight="1">
      <c r="A307" s="49"/>
      <c r="B307" s="49"/>
      <c r="C307" s="49"/>
      <c r="D307" s="50"/>
    </row>
    <row r="308" ht="12.0" customHeight="1">
      <c r="A308" s="49"/>
      <c r="B308" s="49"/>
      <c r="C308" s="49"/>
      <c r="D308" s="50"/>
    </row>
    <row r="309" ht="12.0" customHeight="1">
      <c r="A309" s="49"/>
      <c r="B309" s="49"/>
      <c r="C309" s="49"/>
      <c r="D309" s="50"/>
    </row>
    <row r="310" ht="12.0" customHeight="1">
      <c r="A310" s="49"/>
      <c r="B310" s="49"/>
      <c r="C310" s="49"/>
      <c r="D310" s="50"/>
    </row>
    <row r="311" ht="12.0" customHeight="1">
      <c r="A311" s="49"/>
      <c r="B311" s="49"/>
      <c r="C311" s="49"/>
      <c r="D311" s="50"/>
    </row>
    <row r="312" ht="12.0" customHeight="1">
      <c r="A312" s="49"/>
      <c r="B312" s="49"/>
      <c r="C312" s="49"/>
      <c r="D312" s="50"/>
    </row>
    <row r="313" ht="12.0" customHeight="1">
      <c r="A313" s="49"/>
      <c r="B313" s="49"/>
      <c r="C313" s="49"/>
      <c r="D313" s="50"/>
    </row>
    <row r="314" ht="12.0" customHeight="1">
      <c r="A314" s="49"/>
      <c r="B314" s="49"/>
      <c r="C314" s="49"/>
      <c r="D314" s="50"/>
    </row>
    <row r="315" ht="12.0" customHeight="1">
      <c r="A315" s="49"/>
      <c r="B315" s="49"/>
      <c r="C315" s="49"/>
      <c r="D315" s="50"/>
    </row>
    <row r="316" ht="12.0" customHeight="1">
      <c r="A316" s="49"/>
      <c r="B316" s="49"/>
      <c r="C316" s="49"/>
      <c r="D316" s="50"/>
    </row>
    <row r="317" ht="12.0" customHeight="1">
      <c r="A317" s="49"/>
      <c r="B317" s="49"/>
      <c r="C317" s="49"/>
      <c r="D317" s="50"/>
    </row>
    <row r="318" ht="12.0" customHeight="1">
      <c r="A318" s="49"/>
      <c r="B318" s="49"/>
      <c r="C318" s="49"/>
      <c r="D318" s="50"/>
    </row>
    <row r="319" ht="12.0" customHeight="1">
      <c r="A319" s="49"/>
      <c r="B319" s="49"/>
      <c r="C319" s="49"/>
      <c r="D319" s="50"/>
    </row>
    <row r="320" ht="12.0" customHeight="1">
      <c r="A320" s="49"/>
      <c r="B320" s="49"/>
      <c r="C320" s="49"/>
      <c r="D320" s="50"/>
    </row>
    <row r="321" ht="12.0" customHeight="1">
      <c r="A321" s="49"/>
      <c r="B321" s="49"/>
      <c r="C321" s="49"/>
      <c r="D321" s="50"/>
    </row>
    <row r="322" ht="12.0" customHeight="1">
      <c r="A322" s="49"/>
      <c r="B322" s="49"/>
      <c r="C322" s="49"/>
      <c r="D322" s="50"/>
    </row>
    <row r="323" ht="12.0" customHeight="1">
      <c r="A323" s="49"/>
      <c r="B323" s="49"/>
      <c r="C323" s="49"/>
      <c r="D323" s="50"/>
    </row>
    <row r="324" ht="12.0" customHeight="1">
      <c r="A324" s="49"/>
      <c r="B324" s="49"/>
      <c r="C324" s="49"/>
      <c r="D324" s="50"/>
    </row>
    <row r="325" ht="12.0" customHeight="1">
      <c r="A325" s="49"/>
      <c r="B325" s="49"/>
      <c r="C325" s="49"/>
      <c r="D325" s="50"/>
    </row>
    <row r="326" ht="12.0" customHeight="1">
      <c r="A326" s="49"/>
      <c r="B326" s="49"/>
      <c r="C326" s="49"/>
      <c r="D326" s="50"/>
    </row>
    <row r="327" ht="12.0" customHeight="1">
      <c r="A327" s="49"/>
      <c r="B327" s="49"/>
      <c r="C327" s="49"/>
      <c r="D327" s="50"/>
    </row>
    <row r="328" ht="12.0" customHeight="1">
      <c r="A328" s="49"/>
      <c r="B328" s="49"/>
      <c r="C328" s="49"/>
      <c r="D328" s="50"/>
    </row>
    <row r="329" ht="12.0" customHeight="1">
      <c r="A329" s="49"/>
      <c r="B329" s="49"/>
      <c r="C329" s="49"/>
      <c r="D329" s="50"/>
    </row>
    <row r="330" ht="12.0" customHeight="1">
      <c r="A330" s="49"/>
      <c r="B330" s="49"/>
      <c r="C330" s="49"/>
      <c r="D330" s="50"/>
    </row>
    <row r="331" ht="12.0" customHeight="1">
      <c r="A331" s="49"/>
      <c r="B331" s="49"/>
      <c r="C331" s="49"/>
      <c r="D331" s="50"/>
    </row>
    <row r="332" ht="12.0" customHeight="1">
      <c r="A332" s="49"/>
      <c r="B332" s="49"/>
      <c r="C332" s="49"/>
      <c r="D332" s="50"/>
    </row>
    <row r="333" ht="12.0" customHeight="1">
      <c r="A333" s="49"/>
      <c r="B333" s="49"/>
      <c r="C333" s="49"/>
      <c r="D333" s="50"/>
    </row>
    <row r="334" ht="12.0" customHeight="1">
      <c r="A334" s="49"/>
      <c r="B334" s="49"/>
      <c r="C334" s="49"/>
      <c r="D334" s="50"/>
    </row>
    <row r="335" ht="12.0" customHeight="1">
      <c r="A335" s="49"/>
      <c r="B335" s="49"/>
      <c r="C335" s="49"/>
      <c r="D335" s="50"/>
    </row>
    <row r="336" ht="12.0" customHeight="1">
      <c r="A336" s="49"/>
      <c r="B336" s="49"/>
      <c r="C336" s="49"/>
      <c r="D336" s="50"/>
    </row>
    <row r="337" ht="12.0" customHeight="1">
      <c r="A337" s="49"/>
      <c r="B337" s="49"/>
      <c r="C337" s="49"/>
      <c r="D337" s="50"/>
    </row>
    <row r="338" ht="12.0" customHeight="1">
      <c r="A338" s="49"/>
      <c r="B338" s="49"/>
      <c r="C338" s="49"/>
      <c r="D338" s="50"/>
    </row>
    <row r="339" ht="12.0" customHeight="1">
      <c r="A339" s="49"/>
      <c r="B339" s="49"/>
      <c r="C339" s="49"/>
      <c r="D339" s="50"/>
    </row>
    <row r="340" ht="12.0" customHeight="1">
      <c r="A340" s="49"/>
      <c r="B340" s="49"/>
      <c r="C340" s="49"/>
      <c r="D340" s="50"/>
    </row>
    <row r="341" ht="12.0" customHeight="1">
      <c r="A341" s="49"/>
      <c r="B341" s="49"/>
      <c r="C341" s="49"/>
      <c r="D341" s="50"/>
    </row>
    <row r="342" ht="12.0" customHeight="1">
      <c r="A342" s="49"/>
      <c r="B342" s="49"/>
      <c r="C342" s="49"/>
      <c r="D342" s="50"/>
    </row>
    <row r="343" ht="12.0" customHeight="1">
      <c r="A343" s="49"/>
      <c r="B343" s="49"/>
      <c r="C343" s="49"/>
      <c r="D343" s="50"/>
    </row>
    <row r="344" ht="12.0" customHeight="1">
      <c r="A344" s="49"/>
      <c r="B344" s="49"/>
      <c r="C344" s="49"/>
      <c r="D344" s="50"/>
    </row>
    <row r="345" ht="12.0" customHeight="1">
      <c r="A345" s="49"/>
      <c r="B345" s="49"/>
      <c r="C345" s="49"/>
      <c r="D345" s="50"/>
    </row>
    <row r="346" ht="12.0" customHeight="1">
      <c r="A346" s="49"/>
      <c r="B346" s="49"/>
      <c r="C346" s="49"/>
      <c r="D346" s="50"/>
    </row>
    <row r="347" ht="12.0" customHeight="1">
      <c r="A347" s="49"/>
      <c r="B347" s="49"/>
      <c r="C347" s="49"/>
      <c r="D347" s="50"/>
    </row>
    <row r="348" ht="12.0" customHeight="1">
      <c r="A348" s="49"/>
      <c r="B348" s="49"/>
      <c r="C348" s="49"/>
      <c r="D348" s="50"/>
    </row>
    <row r="349" ht="12.0" customHeight="1">
      <c r="A349" s="49"/>
      <c r="B349" s="49"/>
      <c r="C349" s="49"/>
      <c r="D349" s="50"/>
    </row>
    <row r="350" ht="12.0" customHeight="1">
      <c r="A350" s="49"/>
      <c r="B350" s="49"/>
      <c r="C350" s="49"/>
      <c r="D350" s="50"/>
    </row>
    <row r="351" ht="12.0" customHeight="1">
      <c r="A351" s="49"/>
      <c r="B351" s="49"/>
      <c r="C351" s="49"/>
      <c r="D351" s="50"/>
    </row>
    <row r="352" ht="12.0" customHeight="1">
      <c r="A352" s="49"/>
      <c r="B352" s="49"/>
      <c r="C352" s="49"/>
      <c r="D352" s="50"/>
    </row>
    <row r="353" ht="12.0" customHeight="1">
      <c r="A353" s="49"/>
      <c r="B353" s="49"/>
      <c r="C353" s="49"/>
      <c r="D353" s="50"/>
    </row>
    <row r="354" ht="12.0" customHeight="1">
      <c r="A354" s="49"/>
      <c r="B354" s="49"/>
      <c r="C354" s="49"/>
      <c r="D354" s="50"/>
    </row>
    <row r="355" ht="12.0" customHeight="1">
      <c r="A355" s="49"/>
      <c r="B355" s="49"/>
      <c r="C355" s="49"/>
      <c r="D355" s="50"/>
    </row>
    <row r="356" ht="12.0" customHeight="1">
      <c r="A356" s="49"/>
      <c r="B356" s="49"/>
      <c r="C356" s="49"/>
      <c r="D356" s="50"/>
    </row>
    <row r="357" ht="12.0" customHeight="1">
      <c r="A357" s="49"/>
      <c r="B357" s="49"/>
      <c r="C357" s="49"/>
      <c r="D357" s="50"/>
    </row>
    <row r="358" ht="12.0" customHeight="1">
      <c r="A358" s="49"/>
      <c r="B358" s="49"/>
      <c r="C358" s="49"/>
      <c r="D358" s="50"/>
    </row>
    <row r="359" ht="12.0" customHeight="1">
      <c r="A359" s="49"/>
      <c r="B359" s="49"/>
      <c r="C359" s="49"/>
      <c r="D359" s="50"/>
    </row>
    <row r="360" ht="12.0" customHeight="1">
      <c r="A360" s="49"/>
      <c r="B360" s="49"/>
      <c r="C360" s="49"/>
      <c r="D360" s="50"/>
    </row>
    <row r="361" ht="12.0" customHeight="1">
      <c r="A361" s="49"/>
      <c r="B361" s="49"/>
      <c r="C361" s="49"/>
      <c r="D361" s="50"/>
    </row>
    <row r="362" ht="12.0" customHeight="1">
      <c r="A362" s="49"/>
      <c r="B362" s="49"/>
      <c r="C362" s="49"/>
      <c r="D362" s="50"/>
    </row>
    <row r="363" ht="12.0" customHeight="1">
      <c r="A363" s="49"/>
      <c r="B363" s="49"/>
      <c r="C363" s="49"/>
      <c r="D363" s="50"/>
    </row>
    <row r="364" ht="12.0" customHeight="1">
      <c r="A364" s="49"/>
      <c r="B364" s="49"/>
      <c r="C364" s="49"/>
      <c r="D364" s="50"/>
    </row>
    <row r="365" ht="12.0" customHeight="1">
      <c r="A365" s="49"/>
      <c r="B365" s="49"/>
      <c r="C365" s="49"/>
      <c r="D365" s="50"/>
    </row>
    <row r="366" ht="12.0" customHeight="1">
      <c r="A366" s="49"/>
      <c r="B366" s="49"/>
      <c r="C366" s="49"/>
      <c r="D366" s="50"/>
    </row>
    <row r="367" ht="12.0" customHeight="1">
      <c r="A367" s="49"/>
      <c r="B367" s="49"/>
      <c r="C367" s="49"/>
      <c r="D367" s="50"/>
    </row>
    <row r="368" ht="12.0" customHeight="1">
      <c r="A368" s="49"/>
      <c r="B368" s="49"/>
      <c r="C368" s="49"/>
      <c r="D368" s="50"/>
    </row>
    <row r="369" ht="12.0" customHeight="1">
      <c r="A369" s="49"/>
      <c r="B369" s="49"/>
      <c r="C369" s="49"/>
      <c r="D369" s="50"/>
    </row>
    <row r="370" ht="12.0" customHeight="1">
      <c r="A370" s="49"/>
      <c r="B370" s="49"/>
      <c r="C370" s="49"/>
      <c r="D370" s="50"/>
    </row>
    <row r="371" ht="12.0" customHeight="1">
      <c r="A371" s="49"/>
      <c r="B371" s="49"/>
      <c r="C371" s="49"/>
      <c r="D371" s="50"/>
    </row>
    <row r="372" ht="12.0" customHeight="1">
      <c r="A372" s="49"/>
      <c r="B372" s="49"/>
      <c r="C372" s="49"/>
      <c r="D372" s="50"/>
    </row>
    <row r="373" ht="12.0" customHeight="1">
      <c r="A373" s="49"/>
      <c r="B373" s="49"/>
      <c r="C373" s="49"/>
      <c r="D373" s="50"/>
    </row>
    <row r="374" ht="12.0" customHeight="1">
      <c r="A374" s="49"/>
      <c r="B374" s="49"/>
      <c r="C374" s="49"/>
      <c r="D374" s="50"/>
    </row>
    <row r="375" ht="12.0" customHeight="1">
      <c r="A375" s="49"/>
      <c r="B375" s="49"/>
      <c r="C375" s="49"/>
      <c r="D375" s="50"/>
    </row>
    <row r="376" ht="12.0" customHeight="1">
      <c r="A376" s="49"/>
      <c r="B376" s="49"/>
      <c r="C376" s="49"/>
      <c r="D376" s="50"/>
    </row>
    <row r="377" ht="12.0" customHeight="1">
      <c r="A377" s="49"/>
      <c r="B377" s="49"/>
      <c r="C377" s="49"/>
      <c r="D377" s="50"/>
    </row>
    <row r="378" ht="12.0" customHeight="1">
      <c r="A378" s="49"/>
      <c r="B378" s="49"/>
      <c r="C378" s="49"/>
      <c r="D378" s="50"/>
    </row>
    <row r="379" ht="12.0" customHeight="1">
      <c r="A379" s="49"/>
      <c r="B379" s="49"/>
      <c r="C379" s="49"/>
      <c r="D379" s="50"/>
    </row>
    <row r="380" ht="12.0" customHeight="1">
      <c r="A380" s="49"/>
      <c r="B380" s="49"/>
      <c r="C380" s="49"/>
      <c r="D380" s="50"/>
    </row>
    <row r="381" ht="12.0" customHeight="1">
      <c r="A381" s="49"/>
      <c r="B381" s="49"/>
      <c r="C381" s="49"/>
      <c r="D381" s="50"/>
    </row>
    <row r="382" ht="12.0" customHeight="1">
      <c r="A382" s="49"/>
      <c r="B382" s="49"/>
      <c r="C382" s="49"/>
      <c r="D382" s="50"/>
    </row>
    <row r="383" ht="12.0" customHeight="1">
      <c r="A383" s="49"/>
      <c r="B383" s="49"/>
      <c r="C383" s="49"/>
      <c r="D383" s="50"/>
    </row>
    <row r="384" ht="12.0" customHeight="1">
      <c r="A384" s="49"/>
      <c r="B384" s="49"/>
      <c r="C384" s="49"/>
      <c r="D384" s="50"/>
    </row>
    <row r="385" ht="12.0" customHeight="1">
      <c r="A385" s="49"/>
      <c r="B385" s="49"/>
      <c r="C385" s="49"/>
      <c r="D385" s="50"/>
    </row>
    <row r="386" ht="12.0" customHeight="1">
      <c r="A386" s="49"/>
      <c r="B386" s="49"/>
      <c r="C386" s="49"/>
      <c r="D386" s="50"/>
    </row>
    <row r="387" ht="12.0" customHeight="1">
      <c r="A387" s="49"/>
      <c r="B387" s="49"/>
      <c r="C387" s="49"/>
      <c r="D387" s="50"/>
    </row>
    <row r="388" ht="12.0" customHeight="1">
      <c r="A388" s="49"/>
      <c r="B388" s="49"/>
      <c r="C388" s="49"/>
      <c r="D388" s="50"/>
    </row>
    <row r="389" ht="12.0" customHeight="1">
      <c r="A389" s="49"/>
      <c r="B389" s="49"/>
      <c r="C389" s="49"/>
      <c r="D389" s="50"/>
    </row>
    <row r="390" ht="12.0" customHeight="1">
      <c r="A390" s="49"/>
      <c r="B390" s="49"/>
      <c r="C390" s="49"/>
      <c r="D390" s="50"/>
    </row>
    <row r="391" ht="12.0" customHeight="1">
      <c r="A391" s="49"/>
      <c r="B391" s="49"/>
      <c r="C391" s="49"/>
      <c r="D391" s="50"/>
    </row>
    <row r="392" ht="12.0" customHeight="1">
      <c r="A392" s="49"/>
      <c r="B392" s="49"/>
      <c r="C392" s="49"/>
      <c r="D392" s="50"/>
    </row>
    <row r="393" ht="12.0" customHeight="1">
      <c r="A393" s="49"/>
      <c r="B393" s="49"/>
      <c r="C393" s="49"/>
      <c r="D393" s="50"/>
    </row>
    <row r="394" ht="12.0" customHeight="1">
      <c r="A394" s="49"/>
      <c r="B394" s="49"/>
      <c r="C394" s="49"/>
      <c r="D394" s="50"/>
    </row>
    <row r="395" ht="12.0" customHeight="1">
      <c r="A395" s="49"/>
      <c r="B395" s="49"/>
      <c r="C395" s="49"/>
      <c r="D395" s="50"/>
    </row>
    <row r="396" ht="12.0" customHeight="1">
      <c r="A396" s="49"/>
      <c r="B396" s="49"/>
      <c r="C396" s="49"/>
      <c r="D396" s="50"/>
    </row>
    <row r="397" ht="12.0" customHeight="1">
      <c r="A397" s="49"/>
      <c r="B397" s="49"/>
      <c r="C397" s="49"/>
      <c r="D397" s="50"/>
    </row>
    <row r="398" ht="12.0" customHeight="1">
      <c r="A398" s="49"/>
      <c r="B398" s="49"/>
      <c r="C398" s="49"/>
      <c r="D398" s="50"/>
    </row>
    <row r="399" ht="12.0" customHeight="1">
      <c r="A399" s="49"/>
      <c r="B399" s="49"/>
      <c r="C399" s="49"/>
      <c r="D399" s="50"/>
    </row>
    <row r="400" ht="12.0" customHeight="1">
      <c r="A400" s="49"/>
      <c r="B400" s="49"/>
      <c r="C400" s="49"/>
      <c r="D400" s="50"/>
    </row>
    <row r="401" ht="12.0" customHeight="1">
      <c r="A401" s="49"/>
      <c r="B401" s="49"/>
      <c r="C401" s="49"/>
      <c r="D401" s="50"/>
    </row>
    <row r="402" ht="12.0" customHeight="1">
      <c r="A402" s="49"/>
      <c r="B402" s="49"/>
      <c r="C402" s="49"/>
      <c r="D402" s="50"/>
    </row>
    <row r="403" ht="12.0" customHeight="1">
      <c r="A403" s="49"/>
      <c r="B403" s="49"/>
      <c r="C403" s="49"/>
      <c r="D403" s="50"/>
    </row>
    <row r="404" ht="12.0" customHeight="1">
      <c r="A404" s="49"/>
      <c r="B404" s="49"/>
      <c r="C404" s="49"/>
      <c r="D404" s="50"/>
    </row>
    <row r="405" ht="12.0" customHeight="1">
      <c r="A405" s="49"/>
      <c r="B405" s="49"/>
      <c r="C405" s="49"/>
      <c r="D405" s="50"/>
    </row>
    <row r="406" ht="12.0" customHeight="1">
      <c r="A406" s="49"/>
      <c r="B406" s="49"/>
      <c r="C406" s="49"/>
      <c r="D406" s="50"/>
    </row>
    <row r="407" ht="12.0" customHeight="1">
      <c r="A407" s="49"/>
      <c r="B407" s="49"/>
      <c r="C407" s="49"/>
      <c r="D407" s="50"/>
    </row>
    <row r="408" ht="12.0" customHeight="1">
      <c r="A408" s="49"/>
      <c r="B408" s="49"/>
      <c r="C408" s="49"/>
      <c r="D408" s="50"/>
    </row>
    <row r="409" ht="12.0" customHeight="1">
      <c r="A409" s="49"/>
      <c r="B409" s="49"/>
      <c r="C409" s="49"/>
      <c r="D409" s="50"/>
    </row>
    <row r="410" ht="12.0" customHeight="1">
      <c r="A410" s="49"/>
      <c r="B410" s="49"/>
      <c r="C410" s="49"/>
      <c r="D410" s="50"/>
    </row>
    <row r="411" ht="12.0" customHeight="1">
      <c r="A411" s="49"/>
      <c r="B411" s="49"/>
      <c r="C411" s="49"/>
      <c r="D411" s="50"/>
    </row>
    <row r="412" ht="12.0" customHeight="1">
      <c r="A412" s="49"/>
      <c r="B412" s="49"/>
      <c r="C412" s="49"/>
      <c r="D412" s="50"/>
    </row>
    <row r="413" ht="12.0" customHeight="1">
      <c r="A413" s="49"/>
      <c r="B413" s="49"/>
      <c r="C413" s="49"/>
      <c r="D413" s="50"/>
    </row>
    <row r="414" ht="12.0" customHeight="1">
      <c r="A414" s="49"/>
      <c r="B414" s="49"/>
      <c r="C414" s="49"/>
      <c r="D414" s="50"/>
    </row>
    <row r="415" ht="12.0" customHeight="1">
      <c r="A415" s="49"/>
      <c r="B415" s="49"/>
      <c r="C415" s="49"/>
      <c r="D415" s="50"/>
    </row>
    <row r="416" ht="12.0" customHeight="1">
      <c r="A416" s="49"/>
      <c r="B416" s="49"/>
      <c r="C416" s="49"/>
      <c r="D416" s="50"/>
    </row>
    <row r="417" ht="12.0" customHeight="1">
      <c r="A417" s="49"/>
      <c r="B417" s="49"/>
      <c r="C417" s="49"/>
      <c r="D417" s="50"/>
    </row>
    <row r="418" ht="12.0" customHeight="1">
      <c r="A418" s="49"/>
      <c r="B418" s="49"/>
      <c r="C418" s="49"/>
      <c r="D418" s="50"/>
    </row>
    <row r="419" ht="12.0" customHeight="1">
      <c r="A419" s="49"/>
      <c r="B419" s="49"/>
      <c r="C419" s="49"/>
      <c r="D419" s="50"/>
    </row>
    <row r="420" ht="12.0" customHeight="1">
      <c r="A420" s="49"/>
      <c r="B420" s="49"/>
      <c r="C420" s="49"/>
      <c r="D420" s="50"/>
    </row>
    <row r="421" ht="12.0" customHeight="1">
      <c r="A421" s="49"/>
      <c r="B421" s="49"/>
      <c r="C421" s="49"/>
      <c r="D421" s="50"/>
    </row>
    <row r="422" ht="12.0" customHeight="1">
      <c r="A422" s="49"/>
      <c r="B422" s="49"/>
      <c r="C422" s="49"/>
      <c r="D422" s="50"/>
    </row>
    <row r="423" ht="12.0" customHeight="1">
      <c r="A423" s="49"/>
      <c r="B423" s="49"/>
      <c r="C423" s="49"/>
      <c r="D423" s="50"/>
    </row>
    <row r="424" ht="12.0" customHeight="1">
      <c r="A424" s="49"/>
      <c r="B424" s="49"/>
      <c r="C424" s="49"/>
      <c r="D424" s="50"/>
    </row>
    <row r="425" ht="12.0" customHeight="1">
      <c r="A425" s="49"/>
      <c r="B425" s="49"/>
      <c r="C425" s="49"/>
      <c r="D425" s="50"/>
    </row>
    <row r="426" ht="12.0" customHeight="1">
      <c r="A426" s="49"/>
      <c r="B426" s="49"/>
      <c r="C426" s="49"/>
      <c r="D426" s="50"/>
    </row>
    <row r="427" ht="12.0" customHeight="1">
      <c r="A427" s="49"/>
      <c r="B427" s="49"/>
      <c r="C427" s="49"/>
      <c r="D427" s="50"/>
    </row>
    <row r="428" ht="12.0" customHeight="1">
      <c r="A428" s="49"/>
      <c r="B428" s="49"/>
      <c r="C428" s="49"/>
      <c r="D428" s="50"/>
    </row>
    <row r="429" ht="12.0" customHeight="1">
      <c r="A429" s="49"/>
      <c r="B429" s="49"/>
      <c r="C429" s="49"/>
      <c r="D429" s="50"/>
    </row>
    <row r="430" ht="12.0" customHeight="1">
      <c r="A430" s="49"/>
      <c r="B430" s="49"/>
      <c r="C430" s="49"/>
      <c r="D430" s="50"/>
    </row>
    <row r="431" ht="12.0" customHeight="1">
      <c r="A431" s="49"/>
      <c r="B431" s="49"/>
      <c r="C431" s="49"/>
      <c r="D431" s="50"/>
    </row>
    <row r="432" ht="12.0" customHeight="1">
      <c r="A432" s="49"/>
      <c r="B432" s="49"/>
      <c r="C432" s="49"/>
      <c r="D432" s="50"/>
    </row>
    <row r="433" ht="12.0" customHeight="1">
      <c r="A433" s="49"/>
      <c r="B433" s="49"/>
      <c r="C433" s="49"/>
      <c r="D433" s="50"/>
    </row>
    <row r="434" ht="12.0" customHeight="1">
      <c r="A434" s="49"/>
      <c r="B434" s="49"/>
      <c r="C434" s="49"/>
      <c r="D434" s="50"/>
    </row>
    <row r="435" ht="12.0" customHeight="1">
      <c r="A435" s="49"/>
      <c r="B435" s="49"/>
      <c r="C435" s="49"/>
      <c r="D435" s="50"/>
    </row>
    <row r="436" ht="12.0" customHeight="1">
      <c r="A436" s="49"/>
      <c r="B436" s="49"/>
      <c r="C436" s="49"/>
      <c r="D436" s="50"/>
    </row>
    <row r="437" ht="12.0" customHeight="1">
      <c r="A437" s="49"/>
      <c r="B437" s="49"/>
      <c r="C437" s="49"/>
      <c r="D437" s="50"/>
    </row>
    <row r="438" ht="12.0" customHeight="1">
      <c r="A438" s="49"/>
      <c r="B438" s="49"/>
      <c r="C438" s="49"/>
      <c r="D438" s="50"/>
    </row>
    <row r="439" ht="12.0" customHeight="1">
      <c r="A439" s="49"/>
      <c r="B439" s="49"/>
      <c r="C439" s="49"/>
      <c r="D439" s="50"/>
    </row>
    <row r="440" ht="12.0" customHeight="1">
      <c r="A440" s="49"/>
      <c r="B440" s="49"/>
      <c r="C440" s="49"/>
      <c r="D440" s="50"/>
    </row>
    <row r="441" ht="12.0" customHeight="1">
      <c r="A441" s="49"/>
      <c r="B441" s="49"/>
      <c r="C441" s="49"/>
      <c r="D441" s="50"/>
    </row>
    <row r="442" ht="12.0" customHeight="1">
      <c r="A442" s="49"/>
      <c r="B442" s="49"/>
      <c r="C442" s="49"/>
      <c r="D442" s="50"/>
    </row>
    <row r="443" ht="12.0" customHeight="1">
      <c r="A443" s="49"/>
      <c r="B443" s="49"/>
      <c r="C443" s="49"/>
      <c r="D443" s="50"/>
    </row>
    <row r="444" ht="12.0" customHeight="1">
      <c r="A444" s="49"/>
      <c r="B444" s="49"/>
      <c r="C444" s="49"/>
      <c r="D444" s="50"/>
    </row>
    <row r="445" ht="12.0" customHeight="1">
      <c r="A445" s="49"/>
      <c r="B445" s="49"/>
      <c r="C445" s="49"/>
      <c r="D445" s="50"/>
    </row>
    <row r="446" ht="12.0" customHeight="1">
      <c r="A446" s="49"/>
      <c r="B446" s="49"/>
      <c r="C446" s="49"/>
      <c r="D446" s="50"/>
    </row>
    <row r="447" ht="12.0" customHeight="1">
      <c r="A447" s="49"/>
      <c r="B447" s="49"/>
      <c r="C447" s="49"/>
      <c r="D447" s="50"/>
    </row>
    <row r="448" ht="12.0" customHeight="1">
      <c r="A448" s="49"/>
      <c r="B448" s="49"/>
      <c r="C448" s="49"/>
      <c r="D448" s="50"/>
    </row>
    <row r="449" ht="12.0" customHeight="1">
      <c r="A449" s="49"/>
      <c r="B449" s="49"/>
      <c r="C449" s="49"/>
      <c r="D449" s="50"/>
    </row>
    <row r="450" ht="12.0" customHeight="1">
      <c r="A450" s="49"/>
      <c r="B450" s="49"/>
      <c r="C450" s="49"/>
      <c r="D450" s="50"/>
    </row>
    <row r="451" ht="12.0" customHeight="1">
      <c r="A451" s="49"/>
      <c r="B451" s="49"/>
      <c r="C451" s="49"/>
      <c r="D451" s="50"/>
    </row>
    <row r="452" ht="12.0" customHeight="1">
      <c r="A452" s="49"/>
      <c r="B452" s="49"/>
      <c r="C452" s="49"/>
      <c r="D452" s="50"/>
    </row>
    <row r="453" ht="12.0" customHeight="1">
      <c r="A453" s="49"/>
      <c r="B453" s="49"/>
      <c r="C453" s="49"/>
      <c r="D453" s="50"/>
    </row>
    <row r="454" ht="12.0" customHeight="1">
      <c r="A454" s="49"/>
      <c r="B454" s="49"/>
      <c r="C454" s="49"/>
      <c r="D454" s="50"/>
    </row>
    <row r="455" ht="12.0" customHeight="1">
      <c r="A455" s="49"/>
      <c r="B455" s="49"/>
      <c r="C455" s="49"/>
      <c r="D455" s="50"/>
    </row>
    <row r="456" ht="12.0" customHeight="1">
      <c r="A456" s="49"/>
      <c r="B456" s="49"/>
      <c r="C456" s="49"/>
      <c r="D456" s="50"/>
    </row>
    <row r="457" ht="12.0" customHeight="1">
      <c r="A457" s="49"/>
      <c r="B457" s="49"/>
      <c r="C457" s="49"/>
      <c r="D457" s="50"/>
    </row>
    <row r="458" ht="12.0" customHeight="1">
      <c r="A458" s="49"/>
      <c r="B458" s="49"/>
      <c r="C458" s="49"/>
      <c r="D458" s="50"/>
    </row>
    <row r="459" ht="12.0" customHeight="1">
      <c r="A459" s="49"/>
      <c r="B459" s="49"/>
      <c r="C459" s="49"/>
      <c r="D459" s="50"/>
    </row>
    <row r="460" ht="12.0" customHeight="1">
      <c r="A460" s="49"/>
      <c r="B460" s="49"/>
      <c r="C460" s="49"/>
      <c r="D460" s="50"/>
    </row>
    <row r="461" ht="12.0" customHeight="1">
      <c r="A461" s="49"/>
      <c r="B461" s="49"/>
      <c r="C461" s="49"/>
      <c r="D461" s="50"/>
    </row>
    <row r="462" ht="12.0" customHeight="1">
      <c r="A462" s="49"/>
      <c r="B462" s="49"/>
      <c r="C462" s="49"/>
      <c r="D462" s="50"/>
    </row>
    <row r="463" ht="12.0" customHeight="1">
      <c r="A463" s="49"/>
      <c r="B463" s="49"/>
      <c r="C463" s="49"/>
      <c r="D463" s="50"/>
    </row>
    <row r="464" ht="12.0" customHeight="1">
      <c r="A464" s="49"/>
      <c r="B464" s="49"/>
      <c r="C464" s="49"/>
      <c r="D464" s="50"/>
    </row>
    <row r="465" ht="12.0" customHeight="1">
      <c r="A465" s="49"/>
      <c r="B465" s="49"/>
      <c r="C465" s="49"/>
      <c r="D465" s="50"/>
    </row>
    <row r="466" ht="12.0" customHeight="1">
      <c r="A466" s="49"/>
      <c r="B466" s="49"/>
      <c r="C466" s="49"/>
      <c r="D466" s="50"/>
    </row>
    <row r="467" ht="12.0" customHeight="1">
      <c r="A467" s="49"/>
      <c r="B467" s="49"/>
      <c r="C467" s="49"/>
      <c r="D467" s="50"/>
    </row>
    <row r="468" ht="12.0" customHeight="1">
      <c r="A468" s="49"/>
      <c r="B468" s="49"/>
      <c r="C468" s="49"/>
      <c r="D468" s="50"/>
    </row>
    <row r="469" ht="12.0" customHeight="1">
      <c r="A469" s="49"/>
      <c r="B469" s="49"/>
      <c r="C469" s="49"/>
      <c r="D469" s="50"/>
    </row>
    <row r="470" ht="12.0" customHeight="1">
      <c r="A470" s="49"/>
      <c r="B470" s="49"/>
      <c r="C470" s="49"/>
      <c r="D470" s="50"/>
    </row>
    <row r="471" ht="12.0" customHeight="1">
      <c r="A471" s="49"/>
      <c r="B471" s="49"/>
      <c r="C471" s="49"/>
      <c r="D471" s="50"/>
    </row>
    <row r="472" ht="12.0" customHeight="1">
      <c r="A472" s="49"/>
      <c r="B472" s="49"/>
      <c r="C472" s="49"/>
      <c r="D472" s="50"/>
    </row>
    <row r="473" ht="12.0" customHeight="1">
      <c r="A473" s="49"/>
      <c r="B473" s="49"/>
      <c r="C473" s="49"/>
      <c r="D473" s="50"/>
    </row>
    <row r="474" ht="12.0" customHeight="1">
      <c r="A474" s="49"/>
      <c r="B474" s="49"/>
      <c r="C474" s="49"/>
      <c r="D474" s="50"/>
    </row>
    <row r="475" ht="12.0" customHeight="1">
      <c r="A475" s="49"/>
      <c r="B475" s="49"/>
      <c r="C475" s="49"/>
      <c r="D475" s="50"/>
    </row>
    <row r="476" ht="12.0" customHeight="1">
      <c r="A476" s="49"/>
      <c r="B476" s="49"/>
      <c r="C476" s="49"/>
      <c r="D476" s="50"/>
    </row>
    <row r="477" ht="12.0" customHeight="1">
      <c r="A477" s="49"/>
      <c r="B477" s="49"/>
      <c r="C477" s="49"/>
      <c r="D477" s="50"/>
    </row>
    <row r="478" ht="12.0" customHeight="1">
      <c r="A478" s="49"/>
      <c r="B478" s="49"/>
      <c r="C478" s="49"/>
      <c r="D478" s="50"/>
    </row>
    <row r="479" ht="12.0" customHeight="1">
      <c r="A479" s="49"/>
      <c r="B479" s="49"/>
      <c r="C479" s="49"/>
      <c r="D479" s="50"/>
    </row>
    <row r="480" ht="12.0" customHeight="1">
      <c r="A480" s="49"/>
      <c r="B480" s="49"/>
      <c r="C480" s="49"/>
      <c r="D480" s="50"/>
    </row>
    <row r="481" ht="12.0" customHeight="1">
      <c r="A481" s="49"/>
      <c r="B481" s="49"/>
      <c r="C481" s="49"/>
      <c r="D481" s="50"/>
    </row>
    <row r="482" ht="12.0" customHeight="1">
      <c r="A482" s="49"/>
      <c r="B482" s="49"/>
      <c r="C482" s="49"/>
      <c r="D482" s="50"/>
    </row>
    <row r="483" ht="12.0" customHeight="1">
      <c r="A483" s="49"/>
      <c r="B483" s="49"/>
      <c r="C483" s="49"/>
      <c r="D483" s="50"/>
    </row>
    <row r="484" ht="12.0" customHeight="1">
      <c r="A484" s="49"/>
      <c r="B484" s="49"/>
      <c r="C484" s="49"/>
      <c r="D484" s="50"/>
    </row>
    <row r="485" ht="12.0" customHeight="1">
      <c r="A485" s="49"/>
      <c r="B485" s="49"/>
      <c r="C485" s="49"/>
      <c r="D485" s="50"/>
    </row>
    <row r="486" ht="12.0" customHeight="1">
      <c r="A486" s="49"/>
      <c r="B486" s="49"/>
      <c r="C486" s="49"/>
      <c r="D486" s="50"/>
    </row>
    <row r="487" ht="12.0" customHeight="1">
      <c r="A487" s="49"/>
      <c r="B487" s="49"/>
      <c r="C487" s="49"/>
      <c r="D487" s="50"/>
    </row>
    <row r="488" ht="12.0" customHeight="1">
      <c r="A488" s="49"/>
      <c r="B488" s="49"/>
      <c r="C488" s="49"/>
      <c r="D488" s="50"/>
    </row>
    <row r="489" ht="12.0" customHeight="1">
      <c r="A489" s="49"/>
      <c r="B489" s="49"/>
      <c r="C489" s="49"/>
      <c r="D489" s="50"/>
    </row>
    <row r="490" ht="12.0" customHeight="1">
      <c r="A490" s="49"/>
      <c r="B490" s="49"/>
      <c r="C490" s="49"/>
      <c r="D490" s="50"/>
    </row>
    <row r="491" ht="12.0" customHeight="1">
      <c r="A491" s="49"/>
      <c r="B491" s="49"/>
      <c r="C491" s="49"/>
      <c r="D491" s="50"/>
    </row>
    <row r="492" ht="12.0" customHeight="1">
      <c r="A492" s="49"/>
      <c r="B492" s="49"/>
      <c r="C492" s="49"/>
      <c r="D492" s="50"/>
    </row>
    <row r="493" ht="12.0" customHeight="1">
      <c r="A493" s="49"/>
      <c r="B493" s="49"/>
      <c r="C493" s="49"/>
      <c r="D493" s="50"/>
    </row>
    <row r="494" ht="12.0" customHeight="1">
      <c r="A494" s="49"/>
      <c r="B494" s="49"/>
      <c r="C494" s="49"/>
      <c r="D494" s="50"/>
    </row>
    <row r="495" ht="12.0" customHeight="1">
      <c r="A495" s="49"/>
      <c r="B495" s="49"/>
      <c r="C495" s="49"/>
      <c r="D495" s="50"/>
    </row>
    <row r="496" ht="12.0" customHeight="1">
      <c r="A496" s="49"/>
      <c r="B496" s="49"/>
      <c r="C496" s="49"/>
      <c r="D496" s="50"/>
    </row>
    <row r="497" ht="12.0" customHeight="1">
      <c r="A497" s="49"/>
      <c r="B497" s="49"/>
      <c r="C497" s="49"/>
      <c r="D497" s="50"/>
    </row>
    <row r="498" ht="12.0" customHeight="1">
      <c r="A498" s="49"/>
      <c r="B498" s="49"/>
      <c r="C498" s="49"/>
      <c r="D498" s="50"/>
    </row>
    <row r="499" ht="12.0" customHeight="1">
      <c r="A499" s="49"/>
      <c r="B499" s="49"/>
      <c r="C499" s="49"/>
      <c r="D499" s="50"/>
    </row>
    <row r="500" ht="12.0" customHeight="1">
      <c r="A500" s="49"/>
      <c r="B500" s="49"/>
      <c r="C500" s="49"/>
      <c r="D500" s="50"/>
    </row>
    <row r="501" ht="12.0" customHeight="1">
      <c r="A501" s="49"/>
      <c r="B501" s="49"/>
      <c r="C501" s="49"/>
      <c r="D501" s="50"/>
    </row>
    <row r="502" ht="12.0" customHeight="1">
      <c r="A502" s="49"/>
      <c r="B502" s="49"/>
      <c r="C502" s="49"/>
      <c r="D502" s="50"/>
    </row>
    <row r="503" ht="12.0" customHeight="1">
      <c r="A503" s="49"/>
      <c r="B503" s="49"/>
      <c r="C503" s="49"/>
      <c r="D503" s="50"/>
    </row>
    <row r="504" ht="12.0" customHeight="1">
      <c r="A504" s="49"/>
      <c r="B504" s="49"/>
      <c r="C504" s="49"/>
      <c r="D504" s="50"/>
    </row>
    <row r="505" ht="12.0" customHeight="1">
      <c r="A505" s="49"/>
      <c r="B505" s="49"/>
      <c r="C505" s="49"/>
      <c r="D505" s="50"/>
    </row>
    <row r="506" ht="12.0" customHeight="1">
      <c r="A506" s="49"/>
      <c r="B506" s="49"/>
      <c r="C506" s="49"/>
      <c r="D506" s="50"/>
    </row>
    <row r="507" ht="12.0" customHeight="1">
      <c r="A507" s="49"/>
      <c r="B507" s="49"/>
      <c r="C507" s="49"/>
      <c r="D507" s="50"/>
    </row>
    <row r="508" ht="12.0" customHeight="1">
      <c r="A508" s="49"/>
      <c r="B508" s="49"/>
      <c r="C508" s="49"/>
      <c r="D508" s="50"/>
    </row>
    <row r="509" ht="12.0" customHeight="1">
      <c r="A509" s="49"/>
      <c r="B509" s="49"/>
      <c r="C509" s="49"/>
      <c r="D509" s="50"/>
    </row>
    <row r="510" ht="12.0" customHeight="1">
      <c r="A510" s="49"/>
      <c r="B510" s="49"/>
      <c r="C510" s="49"/>
      <c r="D510" s="50"/>
    </row>
    <row r="511" ht="12.0" customHeight="1">
      <c r="A511" s="49"/>
      <c r="B511" s="49"/>
      <c r="C511" s="49"/>
      <c r="D511" s="50"/>
    </row>
    <row r="512" ht="12.0" customHeight="1">
      <c r="A512" s="49"/>
      <c r="B512" s="49"/>
      <c r="C512" s="49"/>
      <c r="D512" s="50"/>
    </row>
    <row r="513" ht="12.0" customHeight="1">
      <c r="A513" s="49"/>
      <c r="B513" s="49"/>
      <c r="C513" s="49"/>
      <c r="D513" s="50"/>
    </row>
    <row r="514" ht="12.0" customHeight="1">
      <c r="A514" s="49"/>
      <c r="B514" s="49"/>
      <c r="C514" s="49"/>
      <c r="D514" s="50"/>
    </row>
    <row r="515" ht="12.0" customHeight="1">
      <c r="A515" s="49"/>
      <c r="B515" s="49"/>
      <c r="C515" s="49"/>
      <c r="D515" s="50"/>
    </row>
    <row r="516" ht="12.0" customHeight="1">
      <c r="A516" s="49"/>
      <c r="B516" s="49"/>
      <c r="C516" s="49"/>
      <c r="D516" s="50"/>
    </row>
    <row r="517" ht="12.0" customHeight="1">
      <c r="A517" s="49"/>
      <c r="B517" s="49"/>
      <c r="C517" s="49"/>
      <c r="D517" s="50"/>
    </row>
    <row r="518" ht="12.0" customHeight="1">
      <c r="A518" s="49"/>
      <c r="B518" s="49"/>
      <c r="C518" s="49"/>
      <c r="D518" s="50"/>
    </row>
    <row r="519" ht="12.0" customHeight="1">
      <c r="A519" s="49"/>
      <c r="B519" s="49"/>
      <c r="C519" s="49"/>
      <c r="D519" s="50"/>
    </row>
    <row r="520" ht="12.0" customHeight="1">
      <c r="A520" s="49"/>
      <c r="B520" s="49"/>
      <c r="C520" s="49"/>
      <c r="D520" s="50"/>
    </row>
    <row r="521" ht="12.0" customHeight="1">
      <c r="A521" s="49"/>
      <c r="B521" s="49"/>
      <c r="C521" s="49"/>
      <c r="D521" s="50"/>
    </row>
    <row r="522" ht="12.0" customHeight="1">
      <c r="A522" s="49"/>
      <c r="B522" s="49"/>
      <c r="C522" s="49"/>
      <c r="D522" s="50"/>
    </row>
    <row r="523" ht="12.0" customHeight="1">
      <c r="A523" s="49"/>
      <c r="B523" s="49"/>
      <c r="C523" s="49"/>
      <c r="D523" s="50"/>
    </row>
    <row r="524" ht="12.0" customHeight="1">
      <c r="A524" s="49"/>
      <c r="B524" s="49"/>
      <c r="C524" s="49"/>
      <c r="D524" s="50"/>
    </row>
    <row r="525" ht="12.0" customHeight="1">
      <c r="A525" s="49"/>
      <c r="B525" s="49"/>
      <c r="C525" s="49"/>
      <c r="D525" s="50"/>
    </row>
    <row r="526" ht="12.0" customHeight="1">
      <c r="A526" s="49"/>
      <c r="B526" s="49"/>
      <c r="C526" s="49"/>
      <c r="D526" s="50"/>
    </row>
    <row r="527" ht="12.0" customHeight="1">
      <c r="A527" s="49"/>
      <c r="B527" s="49"/>
      <c r="C527" s="49"/>
      <c r="D527" s="50"/>
    </row>
    <row r="528" ht="12.0" customHeight="1">
      <c r="A528" s="49"/>
      <c r="B528" s="49"/>
      <c r="C528" s="49"/>
      <c r="D528" s="50"/>
    </row>
    <row r="529" ht="12.0" customHeight="1">
      <c r="A529" s="49"/>
      <c r="B529" s="49"/>
      <c r="C529" s="49"/>
      <c r="D529" s="50"/>
    </row>
    <row r="530" ht="12.0" customHeight="1">
      <c r="A530" s="49"/>
      <c r="B530" s="49"/>
      <c r="C530" s="49"/>
      <c r="D530" s="50"/>
    </row>
    <row r="531" ht="12.0" customHeight="1">
      <c r="A531" s="49"/>
      <c r="B531" s="49"/>
      <c r="C531" s="49"/>
      <c r="D531" s="50"/>
    </row>
    <row r="532" ht="12.0" customHeight="1">
      <c r="A532" s="49"/>
      <c r="B532" s="49"/>
      <c r="C532" s="49"/>
      <c r="D532" s="50"/>
    </row>
    <row r="533" ht="12.0" customHeight="1">
      <c r="A533" s="49"/>
      <c r="B533" s="49"/>
      <c r="C533" s="49"/>
      <c r="D533" s="50"/>
    </row>
    <row r="534" ht="12.0" customHeight="1">
      <c r="A534" s="49"/>
      <c r="B534" s="49"/>
      <c r="C534" s="49"/>
      <c r="D534" s="50"/>
    </row>
    <row r="535" ht="12.0" customHeight="1">
      <c r="A535" s="49"/>
      <c r="B535" s="49"/>
      <c r="C535" s="49"/>
      <c r="D535" s="50"/>
    </row>
    <row r="536" ht="12.0" customHeight="1">
      <c r="A536" s="49"/>
      <c r="B536" s="49"/>
      <c r="C536" s="49"/>
      <c r="D536" s="50"/>
    </row>
    <row r="537" ht="12.0" customHeight="1">
      <c r="A537" s="49"/>
      <c r="B537" s="49"/>
      <c r="C537" s="49"/>
      <c r="D537" s="50"/>
    </row>
    <row r="538" ht="12.0" customHeight="1">
      <c r="A538" s="49"/>
      <c r="B538" s="49"/>
      <c r="C538" s="49"/>
      <c r="D538" s="50"/>
    </row>
    <row r="539" ht="12.0" customHeight="1">
      <c r="A539" s="49"/>
      <c r="B539" s="49"/>
      <c r="C539" s="49"/>
      <c r="D539" s="50"/>
    </row>
    <row r="540" ht="12.0" customHeight="1">
      <c r="A540" s="49"/>
      <c r="B540" s="49"/>
      <c r="C540" s="49"/>
      <c r="D540" s="50"/>
    </row>
    <row r="541" ht="12.0" customHeight="1">
      <c r="A541" s="49"/>
      <c r="B541" s="49"/>
      <c r="C541" s="49"/>
      <c r="D541" s="50"/>
    </row>
    <row r="542" ht="12.0" customHeight="1">
      <c r="A542" s="49"/>
      <c r="B542" s="49"/>
      <c r="C542" s="49"/>
      <c r="D542" s="50"/>
    </row>
    <row r="543" ht="12.0" customHeight="1">
      <c r="A543" s="49"/>
      <c r="B543" s="49"/>
      <c r="C543" s="49"/>
      <c r="D543" s="50"/>
    </row>
    <row r="544" ht="12.0" customHeight="1">
      <c r="A544" s="49"/>
      <c r="B544" s="49"/>
      <c r="C544" s="49"/>
      <c r="D544" s="50"/>
    </row>
    <row r="545" ht="12.0" customHeight="1">
      <c r="A545" s="49"/>
      <c r="B545" s="49"/>
      <c r="C545" s="49"/>
      <c r="D545" s="50"/>
    </row>
    <row r="546" ht="12.0" customHeight="1">
      <c r="A546" s="49"/>
      <c r="B546" s="49"/>
      <c r="C546" s="49"/>
      <c r="D546" s="50"/>
    </row>
    <row r="547" ht="12.0" customHeight="1">
      <c r="A547" s="49"/>
      <c r="B547" s="49"/>
      <c r="C547" s="49"/>
      <c r="D547" s="50"/>
    </row>
    <row r="548" ht="12.0" customHeight="1">
      <c r="A548" s="49"/>
      <c r="B548" s="49"/>
      <c r="C548" s="49"/>
      <c r="D548" s="50"/>
    </row>
    <row r="549" ht="12.0" customHeight="1">
      <c r="A549" s="49"/>
      <c r="B549" s="49"/>
      <c r="C549" s="49"/>
      <c r="D549" s="50"/>
    </row>
    <row r="550" ht="12.0" customHeight="1">
      <c r="A550" s="49"/>
      <c r="B550" s="49"/>
      <c r="C550" s="49"/>
      <c r="D550" s="50"/>
    </row>
    <row r="551" ht="12.0" customHeight="1">
      <c r="A551" s="49"/>
      <c r="B551" s="49"/>
      <c r="C551" s="49"/>
      <c r="D551" s="50"/>
    </row>
    <row r="552" ht="12.0" customHeight="1">
      <c r="A552" s="49"/>
      <c r="B552" s="49"/>
      <c r="C552" s="49"/>
      <c r="D552" s="50"/>
    </row>
    <row r="553" ht="12.0" customHeight="1">
      <c r="A553" s="49"/>
      <c r="B553" s="49"/>
      <c r="C553" s="49"/>
      <c r="D553" s="50"/>
    </row>
    <row r="554" ht="12.0" customHeight="1">
      <c r="A554" s="49"/>
      <c r="B554" s="49"/>
      <c r="C554" s="49"/>
      <c r="D554" s="50"/>
    </row>
    <row r="555" ht="12.0" customHeight="1">
      <c r="A555" s="49"/>
      <c r="B555" s="49"/>
      <c r="C555" s="49"/>
      <c r="D555" s="50"/>
    </row>
    <row r="556" ht="12.0" customHeight="1">
      <c r="A556" s="49"/>
      <c r="B556" s="49"/>
      <c r="C556" s="49"/>
      <c r="D556" s="50"/>
    </row>
    <row r="557" ht="12.0" customHeight="1">
      <c r="A557" s="49"/>
      <c r="B557" s="49"/>
      <c r="C557" s="49"/>
      <c r="D557" s="50"/>
    </row>
    <row r="558" ht="12.0" customHeight="1">
      <c r="A558" s="49"/>
      <c r="B558" s="49"/>
      <c r="C558" s="49"/>
      <c r="D558" s="50"/>
    </row>
    <row r="559" ht="12.0" customHeight="1">
      <c r="A559" s="49"/>
      <c r="B559" s="49"/>
      <c r="C559" s="49"/>
      <c r="D559" s="50"/>
    </row>
    <row r="560" ht="12.0" customHeight="1">
      <c r="A560" s="49"/>
      <c r="B560" s="49"/>
      <c r="C560" s="49"/>
      <c r="D560" s="50"/>
    </row>
    <row r="561" ht="12.0" customHeight="1">
      <c r="A561" s="49"/>
      <c r="B561" s="49"/>
      <c r="C561" s="49"/>
      <c r="D561" s="50"/>
    </row>
    <row r="562" ht="12.0" customHeight="1">
      <c r="A562" s="49"/>
      <c r="B562" s="49"/>
      <c r="C562" s="49"/>
      <c r="D562" s="50"/>
    </row>
    <row r="563" ht="12.0" customHeight="1">
      <c r="A563" s="49"/>
      <c r="B563" s="49"/>
      <c r="C563" s="49"/>
      <c r="D563" s="50"/>
    </row>
    <row r="564" ht="12.0" customHeight="1">
      <c r="A564" s="49"/>
      <c r="B564" s="49"/>
      <c r="C564" s="49"/>
      <c r="D564" s="50"/>
    </row>
    <row r="565" ht="12.0" customHeight="1">
      <c r="A565" s="49"/>
      <c r="B565" s="49"/>
      <c r="C565" s="49"/>
      <c r="D565" s="50"/>
    </row>
    <row r="566" ht="12.0" customHeight="1">
      <c r="A566" s="49"/>
      <c r="B566" s="49"/>
      <c r="C566" s="49"/>
      <c r="D566" s="50"/>
    </row>
    <row r="567" ht="12.0" customHeight="1">
      <c r="A567" s="49"/>
      <c r="B567" s="49"/>
      <c r="C567" s="49"/>
      <c r="D567" s="50"/>
    </row>
    <row r="568" ht="12.0" customHeight="1">
      <c r="A568" s="49"/>
      <c r="B568" s="49"/>
      <c r="C568" s="49"/>
      <c r="D568" s="50"/>
    </row>
    <row r="569" ht="12.0" customHeight="1">
      <c r="A569" s="49"/>
      <c r="B569" s="49"/>
      <c r="C569" s="49"/>
      <c r="D569" s="50"/>
    </row>
    <row r="570" ht="12.0" customHeight="1">
      <c r="A570" s="49"/>
      <c r="B570" s="49"/>
      <c r="C570" s="49"/>
      <c r="D570" s="50"/>
    </row>
    <row r="571" ht="12.0" customHeight="1">
      <c r="A571" s="49"/>
      <c r="B571" s="49"/>
      <c r="C571" s="49"/>
      <c r="D571" s="50"/>
    </row>
    <row r="572" ht="12.0" customHeight="1">
      <c r="A572" s="49"/>
      <c r="B572" s="49"/>
      <c r="C572" s="49"/>
      <c r="D572" s="50"/>
    </row>
    <row r="573" ht="12.0" customHeight="1">
      <c r="A573" s="49"/>
      <c r="B573" s="49"/>
      <c r="C573" s="49"/>
      <c r="D573" s="50"/>
    </row>
    <row r="574" ht="12.0" customHeight="1">
      <c r="A574" s="49"/>
      <c r="B574" s="49"/>
      <c r="C574" s="49"/>
      <c r="D574" s="50"/>
    </row>
    <row r="575" ht="12.0" customHeight="1">
      <c r="A575" s="49"/>
      <c r="B575" s="49"/>
      <c r="C575" s="49"/>
      <c r="D575" s="50"/>
    </row>
    <row r="576" ht="12.0" customHeight="1">
      <c r="A576" s="49"/>
      <c r="B576" s="49"/>
      <c r="C576" s="49"/>
      <c r="D576" s="50"/>
    </row>
    <row r="577" ht="12.0" customHeight="1">
      <c r="A577" s="49"/>
      <c r="B577" s="49"/>
      <c r="C577" s="49"/>
      <c r="D577" s="50"/>
    </row>
    <row r="578" ht="12.0" customHeight="1">
      <c r="A578" s="49"/>
      <c r="B578" s="49"/>
      <c r="C578" s="49"/>
      <c r="D578" s="50"/>
    </row>
    <row r="579" ht="12.0" customHeight="1">
      <c r="A579" s="49"/>
      <c r="B579" s="49"/>
      <c r="C579" s="49"/>
      <c r="D579" s="50"/>
    </row>
    <row r="580" ht="12.0" customHeight="1">
      <c r="A580" s="49"/>
      <c r="B580" s="49"/>
      <c r="C580" s="49"/>
      <c r="D580" s="50"/>
    </row>
    <row r="581" ht="12.0" customHeight="1">
      <c r="A581" s="49"/>
      <c r="B581" s="49"/>
      <c r="C581" s="49"/>
      <c r="D581" s="50"/>
    </row>
    <row r="582" ht="12.0" customHeight="1">
      <c r="A582" s="49"/>
      <c r="B582" s="49"/>
      <c r="C582" s="49"/>
      <c r="D582" s="50"/>
    </row>
    <row r="583" ht="12.0" customHeight="1">
      <c r="A583" s="49"/>
      <c r="B583" s="49"/>
      <c r="C583" s="49"/>
      <c r="D583" s="50"/>
    </row>
    <row r="584" ht="12.0" customHeight="1">
      <c r="A584" s="49"/>
      <c r="B584" s="49"/>
      <c r="C584" s="49"/>
      <c r="D584" s="50"/>
    </row>
    <row r="585" ht="12.0" customHeight="1">
      <c r="A585" s="49"/>
      <c r="B585" s="49"/>
      <c r="C585" s="49"/>
      <c r="D585" s="50"/>
    </row>
    <row r="586" ht="12.0" customHeight="1">
      <c r="A586" s="49"/>
      <c r="B586" s="49"/>
      <c r="C586" s="49"/>
      <c r="D586" s="50"/>
    </row>
    <row r="587" ht="12.0" customHeight="1">
      <c r="A587" s="49"/>
      <c r="B587" s="49"/>
      <c r="C587" s="49"/>
      <c r="D587" s="50"/>
    </row>
    <row r="588" ht="12.0" customHeight="1">
      <c r="A588" s="49"/>
      <c r="B588" s="49"/>
      <c r="C588" s="49"/>
      <c r="D588" s="50"/>
    </row>
    <row r="589" ht="12.0" customHeight="1">
      <c r="A589" s="49"/>
      <c r="B589" s="49"/>
      <c r="C589" s="49"/>
      <c r="D589" s="50"/>
    </row>
    <row r="590" ht="12.0" customHeight="1">
      <c r="A590" s="49"/>
      <c r="B590" s="49"/>
      <c r="C590" s="49"/>
      <c r="D590" s="50"/>
    </row>
    <row r="591" ht="12.0" customHeight="1">
      <c r="A591" s="49"/>
      <c r="B591" s="49"/>
      <c r="C591" s="49"/>
      <c r="D591" s="50"/>
    </row>
    <row r="592" ht="12.0" customHeight="1">
      <c r="A592" s="49"/>
      <c r="B592" s="49"/>
      <c r="C592" s="49"/>
      <c r="D592" s="50"/>
    </row>
    <row r="593" ht="12.0" customHeight="1">
      <c r="A593" s="49"/>
      <c r="B593" s="49"/>
      <c r="C593" s="49"/>
      <c r="D593" s="50"/>
    </row>
    <row r="594" ht="12.0" customHeight="1">
      <c r="A594" s="49"/>
      <c r="B594" s="49"/>
      <c r="C594" s="49"/>
      <c r="D594" s="50"/>
    </row>
    <row r="595" ht="12.0" customHeight="1">
      <c r="A595" s="49"/>
      <c r="B595" s="49"/>
      <c r="C595" s="49"/>
      <c r="D595" s="50"/>
    </row>
    <row r="596" ht="12.0" customHeight="1">
      <c r="A596" s="49"/>
      <c r="B596" s="49"/>
      <c r="C596" s="49"/>
      <c r="D596" s="50"/>
    </row>
    <row r="597" ht="12.0" customHeight="1">
      <c r="A597" s="49"/>
      <c r="B597" s="49"/>
      <c r="C597" s="49"/>
      <c r="D597" s="50"/>
    </row>
    <row r="598" ht="12.0" customHeight="1">
      <c r="A598" s="49"/>
      <c r="B598" s="49"/>
      <c r="C598" s="49"/>
      <c r="D598" s="50"/>
    </row>
    <row r="599" ht="12.0" customHeight="1">
      <c r="A599" s="49"/>
      <c r="B599" s="49"/>
      <c r="C599" s="49"/>
      <c r="D599" s="50"/>
    </row>
    <row r="600" ht="12.0" customHeight="1">
      <c r="A600" s="49"/>
      <c r="B600" s="49"/>
      <c r="C600" s="49"/>
      <c r="D600" s="50"/>
    </row>
    <row r="601" ht="12.0" customHeight="1">
      <c r="A601" s="49"/>
      <c r="B601" s="49"/>
      <c r="C601" s="49"/>
      <c r="D601" s="50"/>
    </row>
    <row r="602" ht="12.0" customHeight="1">
      <c r="A602" s="49"/>
      <c r="B602" s="49"/>
      <c r="C602" s="49"/>
      <c r="D602" s="50"/>
    </row>
    <row r="603" ht="12.0" customHeight="1">
      <c r="A603" s="49"/>
      <c r="B603" s="49"/>
      <c r="C603" s="49"/>
      <c r="D603" s="50"/>
    </row>
    <row r="604" ht="12.0" customHeight="1">
      <c r="A604" s="49"/>
      <c r="B604" s="49"/>
      <c r="C604" s="49"/>
      <c r="D604" s="50"/>
    </row>
    <row r="605" ht="12.0" customHeight="1">
      <c r="A605" s="49"/>
      <c r="B605" s="49"/>
      <c r="C605" s="49"/>
      <c r="D605" s="50"/>
    </row>
    <row r="606" ht="12.0" customHeight="1">
      <c r="A606" s="49"/>
      <c r="B606" s="49"/>
      <c r="C606" s="49"/>
      <c r="D606" s="50"/>
    </row>
    <row r="607" ht="12.0" customHeight="1">
      <c r="A607" s="49"/>
      <c r="B607" s="49"/>
      <c r="C607" s="49"/>
      <c r="D607" s="50"/>
    </row>
    <row r="608" ht="12.0" customHeight="1">
      <c r="A608" s="49"/>
      <c r="B608" s="49"/>
      <c r="C608" s="49"/>
      <c r="D608" s="50"/>
    </row>
    <row r="609" ht="12.0" customHeight="1">
      <c r="A609" s="49"/>
      <c r="B609" s="49"/>
      <c r="C609" s="49"/>
      <c r="D609" s="50"/>
    </row>
    <row r="610" ht="12.0" customHeight="1">
      <c r="A610" s="49"/>
      <c r="B610" s="49"/>
      <c r="C610" s="49"/>
      <c r="D610" s="50"/>
    </row>
    <row r="611" ht="12.0" customHeight="1">
      <c r="A611" s="49"/>
      <c r="B611" s="49"/>
      <c r="C611" s="49"/>
      <c r="D611" s="50"/>
    </row>
    <row r="612" ht="12.0" customHeight="1">
      <c r="A612" s="49"/>
      <c r="B612" s="49"/>
      <c r="C612" s="49"/>
      <c r="D612" s="50"/>
    </row>
    <row r="613" ht="12.0" customHeight="1">
      <c r="A613" s="49"/>
      <c r="B613" s="49"/>
      <c r="C613" s="49"/>
      <c r="D613" s="50"/>
    </row>
    <row r="614" ht="12.0" customHeight="1">
      <c r="A614" s="49"/>
      <c r="B614" s="49"/>
      <c r="C614" s="49"/>
      <c r="D614" s="50"/>
    </row>
    <row r="615" ht="12.0" customHeight="1">
      <c r="A615" s="49"/>
      <c r="B615" s="49"/>
      <c r="C615" s="49"/>
      <c r="D615" s="50"/>
    </row>
    <row r="616" ht="12.0" customHeight="1">
      <c r="A616" s="49"/>
      <c r="B616" s="49"/>
      <c r="C616" s="49"/>
      <c r="D616" s="50"/>
    </row>
    <row r="617" ht="12.0" customHeight="1">
      <c r="A617" s="49"/>
      <c r="B617" s="49"/>
      <c r="C617" s="49"/>
      <c r="D617" s="50"/>
    </row>
    <row r="618" ht="12.0" customHeight="1">
      <c r="A618" s="49"/>
      <c r="B618" s="49"/>
      <c r="C618" s="49"/>
      <c r="D618" s="50"/>
    </row>
    <row r="619" ht="12.0" customHeight="1">
      <c r="A619" s="49"/>
      <c r="B619" s="49"/>
      <c r="C619" s="49"/>
      <c r="D619" s="50"/>
    </row>
    <row r="620" ht="12.0" customHeight="1">
      <c r="A620" s="49"/>
      <c r="B620" s="49"/>
      <c r="C620" s="49"/>
      <c r="D620" s="50"/>
    </row>
    <row r="621" ht="12.0" customHeight="1">
      <c r="A621" s="49"/>
      <c r="B621" s="49"/>
      <c r="C621" s="49"/>
      <c r="D621" s="50"/>
    </row>
    <row r="622" ht="12.0" customHeight="1">
      <c r="A622" s="49"/>
      <c r="B622" s="49"/>
      <c r="C622" s="49"/>
      <c r="D622" s="50"/>
    </row>
    <row r="623" ht="12.0" customHeight="1">
      <c r="A623" s="49"/>
      <c r="B623" s="49"/>
      <c r="C623" s="49"/>
      <c r="D623" s="50"/>
    </row>
    <row r="624" ht="12.0" customHeight="1">
      <c r="A624" s="49"/>
      <c r="B624" s="49"/>
      <c r="C624" s="49"/>
      <c r="D624" s="50"/>
    </row>
    <row r="625" ht="12.0" customHeight="1">
      <c r="A625" s="49"/>
      <c r="B625" s="49"/>
      <c r="C625" s="49"/>
      <c r="D625" s="50"/>
    </row>
    <row r="626" ht="12.0" customHeight="1">
      <c r="A626" s="49"/>
      <c r="B626" s="49"/>
      <c r="C626" s="49"/>
      <c r="D626" s="50"/>
    </row>
    <row r="627" ht="12.0" customHeight="1">
      <c r="A627" s="49"/>
      <c r="B627" s="49"/>
      <c r="C627" s="49"/>
      <c r="D627" s="50"/>
    </row>
    <row r="628" ht="12.0" customHeight="1">
      <c r="A628" s="49"/>
      <c r="B628" s="49"/>
      <c r="C628" s="49"/>
      <c r="D628" s="50"/>
    </row>
    <row r="629" ht="12.0" customHeight="1">
      <c r="A629" s="49"/>
      <c r="B629" s="49"/>
      <c r="C629" s="49"/>
      <c r="D629" s="50"/>
    </row>
    <row r="630" ht="12.0" customHeight="1">
      <c r="A630" s="49"/>
      <c r="B630" s="49"/>
      <c r="C630" s="49"/>
      <c r="D630" s="50"/>
    </row>
    <row r="631" ht="12.0" customHeight="1">
      <c r="A631" s="49"/>
      <c r="B631" s="49"/>
      <c r="C631" s="49"/>
      <c r="D631" s="50"/>
    </row>
    <row r="632" ht="12.0" customHeight="1">
      <c r="A632" s="49"/>
      <c r="B632" s="49"/>
      <c r="C632" s="49"/>
      <c r="D632" s="50"/>
    </row>
    <row r="633" ht="12.0" customHeight="1">
      <c r="A633" s="49"/>
      <c r="B633" s="49"/>
      <c r="C633" s="49"/>
      <c r="D633" s="50"/>
    </row>
    <row r="634" ht="12.0" customHeight="1">
      <c r="A634" s="49"/>
      <c r="B634" s="49"/>
      <c r="C634" s="49"/>
      <c r="D634" s="50"/>
    </row>
    <row r="635" ht="12.0" customHeight="1">
      <c r="A635" s="49"/>
      <c r="B635" s="49"/>
      <c r="C635" s="49"/>
      <c r="D635" s="50"/>
    </row>
    <row r="636" ht="12.0" customHeight="1">
      <c r="A636" s="49"/>
      <c r="B636" s="49"/>
      <c r="C636" s="49"/>
      <c r="D636" s="50"/>
    </row>
    <row r="637" ht="12.0" customHeight="1">
      <c r="A637" s="49"/>
      <c r="B637" s="49"/>
      <c r="C637" s="49"/>
      <c r="D637" s="50"/>
    </row>
    <row r="638" ht="12.0" customHeight="1">
      <c r="A638" s="49"/>
      <c r="B638" s="49"/>
      <c r="C638" s="49"/>
      <c r="D638" s="50"/>
    </row>
    <row r="639" ht="12.0" customHeight="1">
      <c r="A639" s="49"/>
      <c r="B639" s="49"/>
      <c r="C639" s="49"/>
      <c r="D639" s="50"/>
    </row>
    <row r="640" ht="12.0" customHeight="1">
      <c r="A640" s="49"/>
      <c r="B640" s="49"/>
      <c r="C640" s="49"/>
      <c r="D640" s="50"/>
    </row>
    <row r="641" ht="12.0" customHeight="1">
      <c r="A641" s="49"/>
      <c r="B641" s="49"/>
      <c r="C641" s="49"/>
      <c r="D641" s="50"/>
    </row>
    <row r="642" ht="12.0" customHeight="1">
      <c r="A642" s="49"/>
      <c r="B642" s="49"/>
      <c r="C642" s="49"/>
      <c r="D642" s="50"/>
    </row>
    <row r="643" ht="12.0" customHeight="1">
      <c r="A643" s="49"/>
      <c r="B643" s="49"/>
      <c r="C643" s="49"/>
      <c r="D643" s="50"/>
    </row>
    <row r="644" ht="12.0" customHeight="1">
      <c r="A644" s="49"/>
      <c r="B644" s="49"/>
      <c r="C644" s="49"/>
      <c r="D644" s="50"/>
    </row>
    <row r="645" ht="12.0" customHeight="1">
      <c r="A645" s="49"/>
      <c r="B645" s="49"/>
      <c r="C645" s="49"/>
      <c r="D645" s="50"/>
    </row>
    <row r="646" ht="12.0" customHeight="1">
      <c r="A646" s="49"/>
      <c r="B646" s="49"/>
      <c r="C646" s="49"/>
      <c r="D646" s="50"/>
    </row>
    <row r="647" ht="12.0" customHeight="1">
      <c r="A647" s="49"/>
      <c r="B647" s="49"/>
      <c r="C647" s="49"/>
      <c r="D647" s="50"/>
    </row>
    <row r="648" ht="12.0" customHeight="1">
      <c r="A648" s="49"/>
      <c r="B648" s="49"/>
      <c r="C648" s="49"/>
      <c r="D648" s="50"/>
    </row>
    <row r="649" ht="12.0" customHeight="1">
      <c r="A649" s="49"/>
      <c r="B649" s="49"/>
      <c r="C649" s="49"/>
      <c r="D649" s="50"/>
    </row>
    <row r="650" ht="12.0" customHeight="1">
      <c r="A650" s="49"/>
      <c r="B650" s="49"/>
      <c r="C650" s="49"/>
      <c r="D650" s="50"/>
    </row>
    <row r="651" ht="12.0" customHeight="1">
      <c r="A651" s="49"/>
      <c r="B651" s="49"/>
      <c r="C651" s="49"/>
      <c r="D651" s="50"/>
    </row>
    <row r="652" ht="12.0" customHeight="1">
      <c r="A652" s="49"/>
      <c r="B652" s="49"/>
      <c r="C652" s="49"/>
      <c r="D652" s="50"/>
    </row>
    <row r="653" ht="12.0" customHeight="1">
      <c r="A653" s="49"/>
      <c r="B653" s="49"/>
      <c r="C653" s="49"/>
      <c r="D653" s="50"/>
    </row>
    <row r="654" ht="12.0" customHeight="1">
      <c r="A654" s="49"/>
      <c r="B654" s="49"/>
      <c r="C654" s="49"/>
      <c r="D654" s="50"/>
    </row>
    <row r="655" ht="12.0" customHeight="1">
      <c r="A655" s="49"/>
      <c r="B655" s="49"/>
      <c r="C655" s="49"/>
      <c r="D655" s="50"/>
    </row>
    <row r="656" ht="12.0" customHeight="1">
      <c r="A656" s="49"/>
      <c r="B656" s="49"/>
      <c r="C656" s="49"/>
      <c r="D656" s="50"/>
    </row>
    <row r="657" ht="12.0" customHeight="1">
      <c r="A657" s="49"/>
      <c r="B657" s="49"/>
      <c r="C657" s="49"/>
      <c r="D657" s="50"/>
    </row>
    <row r="658" ht="12.0" customHeight="1">
      <c r="A658" s="49"/>
      <c r="B658" s="49"/>
      <c r="C658" s="49"/>
      <c r="D658" s="50"/>
    </row>
    <row r="659" ht="12.0" customHeight="1">
      <c r="A659" s="49"/>
      <c r="B659" s="49"/>
      <c r="C659" s="49"/>
      <c r="D659" s="50"/>
    </row>
    <row r="660" ht="12.0" customHeight="1">
      <c r="A660" s="49"/>
      <c r="B660" s="49"/>
      <c r="C660" s="49"/>
      <c r="D660" s="50"/>
    </row>
    <row r="661" ht="12.0" customHeight="1">
      <c r="A661" s="49"/>
      <c r="B661" s="49"/>
      <c r="C661" s="49"/>
      <c r="D661" s="50"/>
    </row>
    <row r="662" ht="12.0" customHeight="1">
      <c r="A662" s="49"/>
      <c r="B662" s="49"/>
      <c r="C662" s="49"/>
      <c r="D662" s="50"/>
    </row>
    <row r="663" ht="12.0" customHeight="1">
      <c r="A663" s="49"/>
      <c r="B663" s="49"/>
      <c r="C663" s="49"/>
      <c r="D663" s="50"/>
    </row>
    <row r="664" ht="12.0" customHeight="1">
      <c r="A664" s="49"/>
      <c r="B664" s="49"/>
      <c r="C664" s="49"/>
      <c r="D664" s="50"/>
    </row>
    <row r="665" ht="12.0" customHeight="1">
      <c r="A665" s="49"/>
      <c r="B665" s="49"/>
      <c r="C665" s="49"/>
      <c r="D665" s="50"/>
    </row>
    <row r="666" ht="12.0" customHeight="1">
      <c r="A666" s="49"/>
      <c r="B666" s="49"/>
      <c r="C666" s="49"/>
      <c r="D666" s="50"/>
    </row>
    <row r="667" ht="12.0" customHeight="1">
      <c r="A667" s="49"/>
      <c r="B667" s="49"/>
      <c r="C667" s="49"/>
      <c r="D667" s="50"/>
    </row>
    <row r="668" ht="12.0" customHeight="1">
      <c r="A668" s="49"/>
      <c r="B668" s="49"/>
      <c r="C668" s="49"/>
      <c r="D668" s="50"/>
    </row>
    <row r="669" ht="12.0" customHeight="1">
      <c r="A669" s="49"/>
      <c r="B669" s="49"/>
      <c r="C669" s="49"/>
      <c r="D669" s="50"/>
    </row>
    <row r="670" ht="12.0" customHeight="1">
      <c r="A670" s="49"/>
      <c r="B670" s="49"/>
      <c r="C670" s="49"/>
      <c r="D670" s="50"/>
    </row>
    <row r="671" ht="12.0" customHeight="1">
      <c r="A671" s="49"/>
      <c r="B671" s="49"/>
      <c r="C671" s="49"/>
      <c r="D671" s="50"/>
    </row>
    <row r="672" ht="12.0" customHeight="1">
      <c r="A672" s="49"/>
      <c r="B672" s="49"/>
      <c r="C672" s="49"/>
      <c r="D672" s="50"/>
    </row>
    <row r="673" ht="12.0" customHeight="1">
      <c r="A673" s="49"/>
      <c r="B673" s="49"/>
      <c r="C673" s="49"/>
      <c r="D673" s="50"/>
    </row>
    <row r="674" ht="12.0" customHeight="1">
      <c r="A674" s="49"/>
      <c r="B674" s="49"/>
      <c r="C674" s="49"/>
      <c r="D674" s="50"/>
    </row>
    <row r="675" ht="12.0" customHeight="1">
      <c r="A675" s="49"/>
      <c r="B675" s="49"/>
      <c r="C675" s="49"/>
      <c r="D675" s="50"/>
    </row>
    <row r="676" ht="12.0" customHeight="1">
      <c r="A676" s="49"/>
      <c r="B676" s="49"/>
      <c r="C676" s="49"/>
      <c r="D676" s="50"/>
    </row>
    <row r="677" ht="12.0" customHeight="1">
      <c r="A677" s="49"/>
      <c r="B677" s="49"/>
      <c r="C677" s="49"/>
      <c r="D677" s="50"/>
    </row>
    <row r="678" ht="12.0" customHeight="1">
      <c r="A678" s="49"/>
      <c r="B678" s="49"/>
      <c r="C678" s="49"/>
      <c r="D678" s="50"/>
    </row>
    <row r="679" ht="12.0" customHeight="1">
      <c r="A679" s="49"/>
      <c r="B679" s="49"/>
      <c r="C679" s="49"/>
      <c r="D679" s="50"/>
    </row>
    <row r="680" ht="12.0" customHeight="1">
      <c r="A680" s="49"/>
      <c r="B680" s="49"/>
      <c r="C680" s="49"/>
      <c r="D680" s="50"/>
    </row>
    <row r="681" ht="12.0" customHeight="1">
      <c r="A681" s="49"/>
      <c r="B681" s="49"/>
      <c r="C681" s="49"/>
      <c r="D681" s="50"/>
    </row>
    <row r="682" ht="12.0" customHeight="1">
      <c r="A682" s="49"/>
      <c r="B682" s="49"/>
      <c r="C682" s="49"/>
      <c r="D682" s="50"/>
    </row>
    <row r="683" ht="12.0" customHeight="1">
      <c r="A683" s="49"/>
      <c r="B683" s="49"/>
      <c r="C683" s="49"/>
      <c r="D683" s="50"/>
    </row>
    <row r="684" ht="12.0" customHeight="1">
      <c r="A684" s="49"/>
      <c r="B684" s="49"/>
      <c r="C684" s="49"/>
      <c r="D684" s="50"/>
    </row>
    <row r="685" ht="12.0" customHeight="1">
      <c r="A685" s="49"/>
      <c r="B685" s="49"/>
      <c r="C685" s="49"/>
      <c r="D685" s="50"/>
    </row>
    <row r="686" ht="12.0" customHeight="1">
      <c r="A686" s="49"/>
      <c r="B686" s="49"/>
      <c r="C686" s="49"/>
      <c r="D686" s="50"/>
    </row>
    <row r="687" ht="12.0" customHeight="1">
      <c r="A687" s="49"/>
      <c r="B687" s="49"/>
      <c r="C687" s="49"/>
      <c r="D687" s="50"/>
    </row>
    <row r="688" ht="12.0" customHeight="1">
      <c r="A688" s="49"/>
      <c r="B688" s="49"/>
      <c r="C688" s="49"/>
      <c r="D688" s="50"/>
    </row>
    <row r="689" ht="12.0" customHeight="1">
      <c r="A689" s="49"/>
      <c r="B689" s="49"/>
      <c r="C689" s="49"/>
      <c r="D689" s="50"/>
    </row>
    <row r="690" ht="12.0" customHeight="1">
      <c r="A690" s="49"/>
      <c r="B690" s="49"/>
      <c r="C690" s="49"/>
      <c r="D690" s="50"/>
    </row>
    <row r="691" ht="12.0" customHeight="1">
      <c r="A691" s="49"/>
      <c r="B691" s="49"/>
      <c r="C691" s="49"/>
      <c r="D691" s="50"/>
    </row>
    <row r="692" ht="12.0" customHeight="1">
      <c r="A692" s="49"/>
      <c r="B692" s="49"/>
      <c r="C692" s="49"/>
      <c r="D692" s="50"/>
    </row>
    <row r="693" ht="12.0" customHeight="1">
      <c r="A693" s="49"/>
      <c r="B693" s="49"/>
      <c r="C693" s="49"/>
      <c r="D693" s="50"/>
    </row>
    <row r="694" ht="12.0" customHeight="1">
      <c r="A694" s="49"/>
      <c r="B694" s="49"/>
      <c r="C694" s="49"/>
      <c r="D694" s="50"/>
    </row>
    <row r="695" ht="12.0" customHeight="1">
      <c r="A695" s="49"/>
      <c r="B695" s="49"/>
      <c r="C695" s="49"/>
      <c r="D695" s="50"/>
    </row>
    <row r="696" ht="12.0" customHeight="1">
      <c r="A696" s="49"/>
      <c r="B696" s="49"/>
      <c r="C696" s="49"/>
      <c r="D696" s="50"/>
    </row>
    <row r="697" ht="12.0" customHeight="1">
      <c r="A697" s="49"/>
      <c r="B697" s="49"/>
      <c r="C697" s="49"/>
      <c r="D697" s="50"/>
    </row>
    <row r="698" ht="12.0" customHeight="1">
      <c r="A698" s="49"/>
      <c r="B698" s="49"/>
      <c r="C698" s="49"/>
      <c r="D698" s="50"/>
    </row>
    <row r="699" ht="12.0" customHeight="1">
      <c r="A699" s="49"/>
      <c r="B699" s="49"/>
      <c r="C699" s="49"/>
      <c r="D699" s="50"/>
    </row>
    <row r="700" ht="12.0" customHeight="1">
      <c r="A700" s="49"/>
      <c r="B700" s="49"/>
      <c r="C700" s="49"/>
      <c r="D700" s="50"/>
    </row>
    <row r="701" ht="12.0" customHeight="1">
      <c r="A701" s="49"/>
      <c r="B701" s="49"/>
      <c r="C701" s="49"/>
      <c r="D701" s="50"/>
    </row>
    <row r="702" ht="12.0" customHeight="1">
      <c r="A702" s="49"/>
      <c r="B702" s="49"/>
      <c r="C702" s="49"/>
      <c r="D702" s="50"/>
    </row>
    <row r="703" ht="12.0" customHeight="1">
      <c r="A703" s="49"/>
      <c r="B703" s="49"/>
      <c r="C703" s="49"/>
      <c r="D703" s="50"/>
    </row>
    <row r="704" ht="12.0" customHeight="1">
      <c r="A704" s="49"/>
      <c r="B704" s="49"/>
      <c r="C704" s="49"/>
      <c r="D704" s="50"/>
    </row>
    <row r="705" ht="12.0" customHeight="1">
      <c r="A705" s="49"/>
      <c r="B705" s="49"/>
      <c r="C705" s="49"/>
      <c r="D705" s="50"/>
    </row>
    <row r="706" ht="12.0" customHeight="1">
      <c r="A706" s="49"/>
      <c r="B706" s="49"/>
      <c r="C706" s="49"/>
      <c r="D706" s="50"/>
    </row>
    <row r="707" ht="12.0" customHeight="1">
      <c r="A707" s="49"/>
      <c r="B707" s="49"/>
      <c r="C707" s="49"/>
      <c r="D707" s="50"/>
    </row>
    <row r="708" ht="12.0" customHeight="1">
      <c r="A708" s="49"/>
      <c r="B708" s="49"/>
      <c r="C708" s="49"/>
      <c r="D708" s="50"/>
    </row>
    <row r="709" ht="12.0" customHeight="1">
      <c r="A709" s="49"/>
      <c r="B709" s="49"/>
      <c r="C709" s="49"/>
      <c r="D709" s="50"/>
    </row>
    <row r="710" ht="12.0" customHeight="1">
      <c r="A710" s="49"/>
      <c r="B710" s="49"/>
      <c r="C710" s="49"/>
      <c r="D710" s="50"/>
    </row>
    <row r="711" ht="12.0" customHeight="1">
      <c r="A711" s="49"/>
      <c r="B711" s="49"/>
      <c r="C711" s="49"/>
      <c r="D711" s="50"/>
    </row>
    <row r="712" ht="12.0" customHeight="1">
      <c r="A712" s="49"/>
      <c r="B712" s="49"/>
      <c r="C712" s="49"/>
      <c r="D712" s="50"/>
    </row>
    <row r="713" ht="12.0" customHeight="1">
      <c r="A713" s="49"/>
      <c r="B713" s="49"/>
      <c r="C713" s="49"/>
      <c r="D713" s="50"/>
    </row>
    <row r="714" ht="12.0" customHeight="1">
      <c r="A714" s="49"/>
      <c r="B714" s="49"/>
      <c r="C714" s="49"/>
      <c r="D714" s="50"/>
    </row>
    <row r="715" ht="12.0" customHeight="1">
      <c r="A715" s="49"/>
      <c r="B715" s="49"/>
      <c r="C715" s="49"/>
      <c r="D715" s="50"/>
    </row>
    <row r="716" ht="12.0" customHeight="1">
      <c r="A716" s="49"/>
      <c r="B716" s="49"/>
      <c r="C716" s="49"/>
      <c r="D716" s="50"/>
    </row>
    <row r="717" ht="12.0" customHeight="1">
      <c r="A717" s="49"/>
      <c r="B717" s="49"/>
      <c r="C717" s="49"/>
      <c r="D717" s="50"/>
    </row>
    <row r="718" ht="12.0" customHeight="1">
      <c r="A718" s="49"/>
      <c r="B718" s="49"/>
      <c r="C718" s="49"/>
      <c r="D718" s="50"/>
    </row>
    <row r="719" ht="12.0" customHeight="1">
      <c r="A719" s="49"/>
      <c r="B719" s="49"/>
      <c r="C719" s="49"/>
      <c r="D719" s="50"/>
    </row>
    <row r="720" ht="12.0" customHeight="1">
      <c r="A720" s="49"/>
      <c r="B720" s="49"/>
      <c r="C720" s="49"/>
      <c r="D720" s="50"/>
    </row>
    <row r="721" ht="12.0" customHeight="1">
      <c r="A721" s="49"/>
      <c r="B721" s="49"/>
      <c r="C721" s="49"/>
      <c r="D721" s="50"/>
    </row>
    <row r="722" ht="12.0" customHeight="1">
      <c r="A722" s="49"/>
      <c r="B722" s="49"/>
      <c r="C722" s="49"/>
      <c r="D722" s="50"/>
    </row>
    <row r="723" ht="12.0" customHeight="1">
      <c r="A723" s="49"/>
      <c r="B723" s="49"/>
      <c r="C723" s="49"/>
      <c r="D723" s="50"/>
    </row>
    <row r="724" ht="12.0" customHeight="1">
      <c r="A724" s="49"/>
      <c r="B724" s="49"/>
      <c r="C724" s="49"/>
      <c r="D724" s="50"/>
    </row>
    <row r="725" ht="12.0" customHeight="1">
      <c r="A725" s="49"/>
      <c r="B725" s="49"/>
      <c r="C725" s="49"/>
      <c r="D725" s="50"/>
    </row>
    <row r="726" ht="12.0" customHeight="1">
      <c r="A726" s="49"/>
      <c r="B726" s="49"/>
      <c r="C726" s="49"/>
      <c r="D726" s="50"/>
    </row>
    <row r="727" ht="12.0" customHeight="1">
      <c r="A727" s="49"/>
      <c r="B727" s="49"/>
      <c r="C727" s="49"/>
      <c r="D727" s="50"/>
    </row>
    <row r="728" ht="12.0" customHeight="1">
      <c r="A728" s="49"/>
      <c r="B728" s="49"/>
      <c r="C728" s="49"/>
      <c r="D728" s="50"/>
    </row>
    <row r="729" ht="12.0" customHeight="1">
      <c r="A729" s="49"/>
      <c r="B729" s="49"/>
      <c r="C729" s="49"/>
      <c r="D729" s="50"/>
    </row>
    <row r="730" ht="12.0" customHeight="1">
      <c r="A730" s="49"/>
      <c r="B730" s="49"/>
      <c r="C730" s="49"/>
      <c r="D730" s="50"/>
    </row>
    <row r="731" ht="12.0" customHeight="1">
      <c r="A731" s="49"/>
      <c r="B731" s="49"/>
      <c r="C731" s="49"/>
      <c r="D731" s="50"/>
    </row>
    <row r="732" ht="12.0" customHeight="1">
      <c r="A732" s="49"/>
      <c r="B732" s="49"/>
      <c r="C732" s="49"/>
      <c r="D732" s="50"/>
    </row>
    <row r="733" ht="12.0" customHeight="1">
      <c r="A733" s="49"/>
      <c r="B733" s="49"/>
      <c r="C733" s="49"/>
      <c r="D733" s="50"/>
    </row>
    <row r="734" ht="12.0" customHeight="1">
      <c r="A734" s="49"/>
      <c r="B734" s="49"/>
      <c r="C734" s="49"/>
      <c r="D734" s="50"/>
    </row>
    <row r="735" ht="12.0" customHeight="1">
      <c r="A735" s="49"/>
      <c r="B735" s="49"/>
      <c r="C735" s="49"/>
      <c r="D735" s="50"/>
    </row>
    <row r="736" ht="12.0" customHeight="1">
      <c r="A736" s="49"/>
      <c r="B736" s="49"/>
      <c r="C736" s="49"/>
      <c r="D736" s="50"/>
    </row>
    <row r="737" ht="12.0" customHeight="1">
      <c r="A737" s="49"/>
      <c r="B737" s="49"/>
      <c r="C737" s="49"/>
      <c r="D737" s="50"/>
    </row>
    <row r="738" ht="12.0" customHeight="1">
      <c r="A738" s="49"/>
      <c r="B738" s="49"/>
      <c r="C738" s="49"/>
      <c r="D738" s="50"/>
    </row>
    <row r="739" ht="12.0" customHeight="1">
      <c r="A739" s="49"/>
      <c r="B739" s="49"/>
      <c r="C739" s="49"/>
      <c r="D739" s="50"/>
    </row>
    <row r="740" ht="12.0" customHeight="1">
      <c r="A740" s="49"/>
      <c r="B740" s="49"/>
      <c r="C740" s="49"/>
      <c r="D740" s="50"/>
    </row>
    <row r="741" ht="12.0" customHeight="1">
      <c r="A741" s="49"/>
      <c r="B741" s="49"/>
      <c r="C741" s="49"/>
      <c r="D741" s="50"/>
    </row>
    <row r="742" ht="12.0" customHeight="1">
      <c r="A742" s="49"/>
      <c r="B742" s="49"/>
      <c r="C742" s="49"/>
      <c r="D742" s="50"/>
    </row>
    <row r="743" ht="12.0" customHeight="1">
      <c r="A743" s="49"/>
      <c r="B743" s="49"/>
      <c r="C743" s="49"/>
      <c r="D743" s="50"/>
    </row>
    <row r="744" ht="12.0" customHeight="1">
      <c r="A744" s="49"/>
      <c r="B744" s="49"/>
      <c r="C744" s="49"/>
      <c r="D744" s="50"/>
    </row>
    <row r="745" ht="12.0" customHeight="1">
      <c r="A745" s="49"/>
      <c r="B745" s="49"/>
      <c r="C745" s="49"/>
      <c r="D745" s="50"/>
    </row>
    <row r="746" ht="12.0" customHeight="1">
      <c r="A746" s="49"/>
      <c r="B746" s="49"/>
      <c r="C746" s="49"/>
      <c r="D746" s="50"/>
    </row>
    <row r="747" ht="12.0" customHeight="1">
      <c r="A747" s="49"/>
      <c r="B747" s="49"/>
      <c r="C747" s="49"/>
      <c r="D747" s="50"/>
    </row>
    <row r="748" ht="12.0" customHeight="1">
      <c r="A748" s="49"/>
      <c r="B748" s="49"/>
      <c r="C748" s="49"/>
      <c r="D748" s="50"/>
    </row>
    <row r="749" ht="12.0" customHeight="1">
      <c r="A749" s="49"/>
      <c r="B749" s="49"/>
      <c r="C749" s="49"/>
      <c r="D749" s="50"/>
    </row>
    <row r="750" ht="12.0" customHeight="1">
      <c r="A750" s="49"/>
      <c r="B750" s="49"/>
      <c r="C750" s="49"/>
      <c r="D750" s="50"/>
    </row>
    <row r="751" ht="12.0" customHeight="1">
      <c r="A751" s="49"/>
      <c r="B751" s="49"/>
      <c r="C751" s="49"/>
      <c r="D751" s="50"/>
    </row>
    <row r="752" ht="12.0" customHeight="1">
      <c r="A752" s="49"/>
      <c r="B752" s="49"/>
      <c r="C752" s="49"/>
      <c r="D752" s="50"/>
    </row>
    <row r="753" ht="12.0" customHeight="1">
      <c r="A753" s="49"/>
      <c r="B753" s="49"/>
      <c r="C753" s="49"/>
      <c r="D753" s="50"/>
    </row>
    <row r="754" ht="12.0" customHeight="1">
      <c r="A754" s="49"/>
      <c r="B754" s="49"/>
      <c r="C754" s="49"/>
      <c r="D754" s="50"/>
    </row>
    <row r="755" ht="12.0" customHeight="1">
      <c r="A755" s="49"/>
      <c r="B755" s="49"/>
      <c r="C755" s="49"/>
      <c r="D755" s="50"/>
    </row>
    <row r="756" ht="12.0" customHeight="1">
      <c r="A756" s="49"/>
      <c r="B756" s="49"/>
      <c r="C756" s="49"/>
      <c r="D756" s="50"/>
    </row>
    <row r="757" ht="12.0" customHeight="1">
      <c r="A757" s="49"/>
      <c r="B757" s="49"/>
      <c r="C757" s="49"/>
      <c r="D757" s="50"/>
    </row>
    <row r="758" ht="12.0" customHeight="1">
      <c r="A758" s="49"/>
      <c r="B758" s="49"/>
      <c r="C758" s="49"/>
      <c r="D758" s="50"/>
    </row>
    <row r="759" ht="12.0" customHeight="1">
      <c r="A759" s="49"/>
      <c r="B759" s="49"/>
      <c r="C759" s="49"/>
      <c r="D759" s="50"/>
    </row>
    <row r="760" ht="12.0" customHeight="1">
      <c r="A760" s="49"/>
      <c r="B760" s="49"/>
      <c r="C760" s="49"/>
      <c r="D760" s="50"/>
    </row>
    <row r="761" ht="12.0" customHeight="1">
      <c r="A761" s="49"/>
      <c r="B761" s="49"/>
      <c r="C761" s="49"/>
      <c r="D761" s="50"/>
    </row>
    <row r="762" ht="12.0" customHeight="1">
      <c r="A762" s="49"/>
      <c r="B762" s="49"/>
      <c r="C762" s="49"/>
      <c r="D762" s="50"/>
    </row>
    <row r="763" ht="12.0" customHeight="1">
      <c r="A763" s="49"/>
      <c r="B763" s="49"/>
      <c r="C763" s="49"/>
      <c r="D763" s="50"/>
    </row>
    <row r="764" ht="12.0" customHeight="1">
      <c r="A764" s="49"/>
      <c r="B764" s="49"/>
      <c r="C764" s="49"/>
      <c r="D764" s="50"/>
    </row>
    <row r="765" ht="12.0" customHeight="1">
      <c r="A765" s="49"/>
      <c r="B765" s="49"/>
      <c r="C765" s="49"/>
      <c r="D765" s="50"/>
    </row>
    <row r="766" ht="12.0" customHeight="1">
      <c r="A766" s="49"/>
      <c r="B766" s="49"/>
      <c r="C766" s="49"/>
      <c r="D766" s="50"/>
    </row>
    <row r="767" ht="12.0" customHeight="1">
      <c r="A767" s="49"/>
      <c r="B767" s="49"/>
      <c r="C767" s="49"/>
      <c r="D767" s="50"/>
    </row>
    <row r="768" ht="12.0" customHeight="1">
      <c r="A768" s="49"/>
      <c r="B768" s="49"/>
      <c r="C768" s="49"/>
      <c r="D768" s="50"/>
    </row>
    <row r="769" ht="12.0" customHeight="1">
      <c r="A769" s="49"/>
      <c r="B769" s="49"/>
      <c r="C769" s="49"/>
      <c r="D769" s="50"/>
    </row>
    <row r="770" ht="12.0" customHeight="1">
      <c r="A770" s="49"/>
      <c r="B770" s="49"/>
      <c r="C770" s="49"/>
      <c r="D770" s="50"/>
    </row>
    <row r="771" ht="12.0" customHeight="1">
      <c r="A771" s="49"/>
      <c r="B771" s="49"/>
      <c r="C771" s="49"/>
      <c r="D771" s="50"/>
    </row>
    <row r="772" ht="12.0" customHeight="1">
      <c r="A772" s="49"/>
      <c r="B772" s="49"/>
      <c r="C772" s="49"/>
      <c r="D772" s="50"/>
    </row>
    <row r="773" ht="12.0" customHeight="1">
      <c r="A773" s="49"/>
      <c r="B773" s="49"/>
      <c r="C773" s="49"/>
      <c r="D773" s="50"/>
    </row>
    <row r="774" ht="12.0" customHeight="1">
      <c r="A774" s="49"/>
      <c r="B774" s="49"/>
      <c r="C774" s="49"/>
      <c r="D774" s="50"/>
    </row>
    <row r="775" ht="12.0" customHeight="1">
      <c r="A775" s="49"/>
      <c r="B775" s="49"/>
      <c r="C775" s="49"/>
      <c r="D775" s="50"/>
    </row>
    <row r="776" ht="12.0" customHeight="1">
      <c r="A776" s="49"/>
      <c r="B776" s="49"/>
      <c r="C776" s="49"/>
      <c r="D776" s="50"/>
    </row>
    <row r="777" ht="12.0" customHeight="1">
      <c r="A777" s="49"/>
      <c r="B777" s="49"/>
      <c r="C777" s="49"/>
      <c r="D777" s="50"/>
    </row>
    <row r="778" ht="12.0" customHeight="1">
      <c r="A778" s="49"/>
      <c r="B778" s="49"/>
      <c r="C778" s="49"/>
      <c r="D778" s="50"/>
    </row>
    <row r="779" ht="12.0" customHeight="1">
      <c r="A779" s="49"/>
      <c r="B779" s="49"/>
      <c r="C779" s="49"/>
      <c r="D779" s="50"/>
    </row>
    <row r="780" ht="12.0" customHeight="1">
      <c r="A780" s="49"/>
      <c r="B780" s="49"/>
      <c r="C780" s="49"/>
      <c r="D780" s="50"/>
    </row>
    <row r="781" ht="12.0" customHeight="1">
      <c r="A781" s="49"/>
      <c r="B781" s="49"/>
      <c r="C781" s="49"/>
      <c r="D781" s="50"/>
    </row>
    <row r="782" ht="12.0" customHeight="1">
      <c r="A782" s="49"/>
      <c r="B782" s="49"/>
      <c r="C782" s="49"/>
      <c r="D782" s="50"/>
    </row>
    <row r="783" ht="12.0" customHeight="1">
      <c r="A783" s="49"/>
      <c r="B783" s="49"/>
      <c r="C783" s="49"/>
      <c r="D783" s="50"/>
    </row>
    <row r="784" ht="12.0" customHeight="1">
      <c r="A784" s="49"/>
      <c r="B784" s="49"/>
      <c r="C784" s="49"/>
      <c r="D784" s="50"/>
    </row>
    <row r="785" ht="12.0" customHeight="1">
      <c r="A785" s="49"/>
      <c r="B785" s="49"/>
      <c r="C785" s="49"/>
      <c r="D785" s="50"/>
    </row>
    <row r="786" ht="12.0" customHeight="1">
      <c r="A786" s="49"/>
      <c r="B786" s="49"/>
      <c r="C786" s="49"/>
      <c r="D786" s="50"/>
    </row>
    <row r="787" ht="12.0" customHeight="1">
      <c r="A787" s="49"/>
      <c r="B787" s="49"/>
      <c r="C787" s="49"/>
      <c r="D787" s="50"/>
    </row>
    <row r="788" ht="12.0" customHeight="1">
      <c r="A788" s="49"/>
      <c r="B788" s="49"/>
      <c r="C788" s="49"/>
      <c r="D788" s="50"/>
    </row>
    <row r="789" ht="12.0" customHeight="1">
      <c r="A789" s="49"/>
      <c r="B789" s="49"/>
      <c r="C789" s="49"/>
      <c r="D789" s="50"/>
    </row>
    <row r="790" ht="12.0" customHeight="1">
      <c r="A790" s="49"/>
      <c r="B790" s="49"/>
      <c r="C790" s="49"/>
      <c r="D790" s="50"/>
    </row>
    <row r="791" ht="12.0" customHeight="1">
      <c r="A791" s="49"/>
      <c r="B791" s="49"/>
      <c r="C791" s="49"/>
      <c r="D791" s="50"/>
    </row>
    <row r="792" ht="12.0" customHeight="1">
      <c r="A792" s="49"/>
      <c r="B792" s="49"/>
      <c r="C792" s="49"/>
      <c r="D792" s="50"/>
    </row>
    <row r="793" ht="12.0" customHeight="1">
      <c r="A793" s="49"/>
      <c r="B793" s="49"/>
      <c r="C793" s="49"/>
      <c r="D793" s="50"/>
    </row>
    <row r="794" ht="12.0" customHeight="1">
      <c r="A794" s="49"/>
      <c r="B794" s="49"/>
      <c r="C794" s="49"/>
      <c r="D794" s="50"/>
    </row>
    <row r="795" ht="12.0" customHeight="1">
      <c r="A795" s="49"/>
      <c r="B795" s="49"/>
      <c r="C795" s="49"/>
      <c r="D795" s="50"/>
    </row>
    <row r="796" ht="12.0" customHeight="1">
      <c r="A796" s="49"/>
      <c r="B796" s="49"/>
      <c r="C796" s="49"/>
      <c r="D796" s="50"/>
    </row>
    <row r="797" ht="12.0" customHeight="1">
      <c r="A797" s="49"/>
      <c r="B797" s="49"/>
      <c r="C797" s="49"/>
      <c r="D797" s="50"/>
    </row>
    <row r="798" ht="12.0" customHeight="1">
      <c r="A798" s="49"/>
      <c r="B798" s="49"/>
      <c r="C798" s="49"/>
      <c r="D798" s="50"/>
    </row>
    <row r="799" ht="12.0" customHeight="1">
      <c r="A799" s="49"/>
      <c r="B799" s="49"/>
      <c r="C799" s="49"/>
      <c r="D799" s="50"/>
    </row>
    <row r="800" ht="12.0" customHeight="1">
      <c r="A800" s="49"/>
      <c r="B800" s="49"/>
      <c r="C800" s="49"/>
      <c r="D800" s="50"/>
    </row>
    <row r="801" ht="12.0" customHeight="1">
      <c r="A801" s="49"/>
      <c r="B801" s="49"/>
      <c r="C801" s="49"/>
      <c r="D801" s="50"/>
    </row>
    <row r="802" ht="12.0" customHeight="1">
      <c r="A802" s="49"/>
      <c r="B802" s="49"/>
      <c r="C802" s="49"/>
      <c r="D802" s="50"/>
    </row>
    <row r="803" ht="12.0" customHeight="1">
      <c r="A803" s="49"/>
      <c r="B803" s="49"/>
      <c r="C803" s="49"/>
      <c r="D803" s="50"/>
    </row>
    <row r="804" ht="12.0" customHeight="1">
      <c r="A804" s="49"/>
      <c r="B804" s="49"/>
      <c r="C804" s="49"/>
      <c r="D804" s="50"/>
    </row>
    <row r="805" ht="12.0" customHeight="1">
      <c r="A805" s="49"/>
      <c r="B805" s="49"/>
      <c r="C805" s="49"/>
      <c r="D805" s="50"/>
    </row>
    <row r="806" ht="12.0" customHeight="1">
      <c r="A806" s="49"/>
      <c r="B806" s="49"/>
      <c r="C806" s="49"/>
      <c r="D806" s="50"/>
    </row>
    <row r="807" ht="12.0" customHeight="1">
      <c r="A807" s="49"/>
      <c r="B807" s="49"/>
      <c r="C807" s="49"/>
      <c r="D807" s="50"/>
    </row>
    <row r="808" ht="12.0" customHeight="1">
      <c r="A808" s="49"/>
      <c r="B808" s="49"/>
      <c r="C808" s="49"/>
      <c r="D808" s="50"/>
    </row>
    <row r="809" ht="12.0" customHeight="1">
      <c r="A809" s="49"/>
      <c r="B809" s="49"/>
      <c r="C809" s="49"/>
      <c r="D809" s="50"/>
    </row>
    <row r="810" ht="12.0" customHeight="1">
      <c r="A810" s="49"/>
      <c r="B810" s="49"/>
      <c r="C810" s="49"/>
      <c r="D810" s="50"/>
    </row>
    <row r="811" ht="12.0" customHeight="1">
      <c r="A811" s="49"/>
      <c r="B811" s="49"/>
      <c r="C811" s="49"/>
      <c r="D811" s="50"/>
    </row>
    <row r="812" ht="12.0" customHeight="1">
      <c r="A812" s="49"/>
      <c r="B812" s="49"/>
      <c r="C812" s="49"/>
      <c r="D812" s="50"/>
    </row>
    <row r="813" ht="12.0" customHeight="1">
      <c r="A813" s="49"/>
      <c r="B813" s="49"/>
      <c r="C813" s="49"/>
      <c r="D813" s="50"/>
    </row>
    <row r="814" ht="12.0" customHeight="1">
      <c r="A814" s="49"/>
      <c r="B814" s="49"/>
      <c r="C814" s="49"/>
      <c r="D814" s="50"/>
    </row>
    <row r="815" ht="12.0" customHeight="1">
      <c r="A815" s="49"/>
      <c r="B815" s="49"/>
      <c r="C815" s="49"/>
      <c r="D815" s="50"/>
    </row>
    <row r="816" ht="12.0" customHeight="1">
      <c r="A816" s="49"/>
      <c r="B816" s="49"/>
      <c r="C816" s="49"/>
      <c r="D816" s="50"/>
    </row>
    <row r="817" ht="12.0" customHeight="1">
      <c r="A817" s="49"/>
      <c r="B817" s="49"/>
      <c r="C817" s="49"/>
      <c r="D817" s="50"/>
    </row>
    <row r="818" ht="12.0" customHeight="1">
      <c r="A818" s="49"/>
      <c r="B818" s="49"/>
      <c r="C818" s="49"/>
      <c r="D818" s="50"/>
    </row>
    <row r="819" ht="12.0" customHeight="1">
      <c r="A819" s="49"/>
      <c r="B819" s="49"/>
      <c r="C819" s="49"/>
      <c r="D819" s="50"/>
    </row>
    <row r="820" ht="12.0" customHeight="1">
      <c r="A820" s="49"/>
      <c r="B820" s="49"/>
      <c r="C820" s="49"/>
      <c r="D820" s="50"/>
    </row>
    <row r="821" ht="12.0" customHeight="1">
      <c r="A821" s="49"/>
      <c r="B821" s="49"/>
      <c r="C821" s="49"/>
      <c r="D821" s="50"/>
    </row>
    <row r="822" ht="12.0" customHeight="1">
      <c r="A822" s="49"/>
      <c r="B822" s="49"/>
      <c r="C822" s="49"/>
      <c r="D822" s="50"/>
    </row>
    <row r="823" ht="12.0" customHeight="1">
      <c r="A823" s="49"/>
      <c r="B823" s="49"/>
      <c r="C823" s="49"/>
      <c r="D823" s="50"/>
    </row>
    <row r="824" ht="12.0" customHeight="1">
      <c r="A824" s="49"/>
      <c r="B824" s="49"/>
      <c r="C824" s="49"/>
      <c r="D824" s="50"/>
    </row>
    <row r="825" ht="12.0" customHeight="1">
      <c r="A825" s="49"/>
      <c r="B825" s="49"/>
      <c r="C825" s="49"/>
      <c r="D825" s="50"/>
    </row>
    <row r="826" ht="12.0" customHeight="1">
      <c r="A826" s="49"/>
      <c r="B826" s="49"/>
      <c r="C826" s="49"/>
      <c r="D826" s="50"/>
    </row>
    <row r="827" ht="12.0" customHeight="1">
      <c r="A827" s="49"/>
      <c r="B827" s="49"/>
      <c r="C827" s="49"/>
      <c r="D827" s="50"/>
    </row>
    <row r="828" ht="12.0" customHeight="1">
      <c r="A828" s="49"/>
      <c r="B828" s="49"/>
      <c r="C828" s="49"/>
      <c r="D828" s="50"/>
    </row>
    <row r="829" ht="12.0" customHeight="1">
      <c r="A829" s="49"/>
      <c r="B829" s="49"/>
      <c r="C829" s="49"/>
      <c r="D829" s="50"/>
    </row>
    <row r="830" ht="12.0" customHeight="1">
      <c r="A830" s="49"/>
      <c r="B830" s="49"/>
      <c r="C830" s="49"/>
      <c r="D830" s="50"/>
    </row>
    <row r="831" ht="12.0" customHeight="1">
      <c r="A831" s="49"/>
      <c r="B831" s="49"/>
      <c r="C831" s="49"/>
      <c r="D831" s="50"/>
    </row>
    <row r="832" ht="12.0" customHeight="1">
      <c r="A832" s="49"/>
      <c r="B832" s="49"/>
      <c r="C832" s="49"/>
      <c r="D832" s="50"/>
    </row>
    <row r="833" ht="12.0" customHeight="1">
      <c r="A833" s="49"/>
      <c r="B833" s="49"/>
      <c r="C833" s="49"/>
      <c r="D833" s="50"/>
    </row>
    <row r="834" ht="12.0" customHeight="1">
      <c r="A834" s="49"/>
      <c r="B834" s="49"/>
      <c r="C834" s="49"/>
      <c r="D834" s="50"/>
    </row>
    <row r="835" ht="12.0" customHeight="1">
      <c r="A835" s="49"/>
      <c r="B835" s="49"/>
      <c r="C835" s="49"/>
      <c r="D835" s="50"/>
    </row>
    <row r="836" ht="12.0" customHeight="1">
      <c r="A836" s="49"/>
      <c r="B836" s="49"/>
      <c r="C836" s="49"/>
      <c r="D836" s="50"/>
    </row>
    <row r="837" ht="12.0" customHeight="1">
      <c r="A837" s="49"/>
      <c r="B837" s="49"/>
      <c r="C837" s="49"/>
      <c r="D837" s="50"/>
    </row>
    <row r="838" ht="12.0" customHeight="1">
      <c r="A838" s="49"/>
      <c r="B838" s="49"/>
      <c r="C838" s="49"/>
      <c r="D838" s="50"/>
    </row>
    <row r="839" ht="12.0" customHeight="1">
      <c r="A839" s="49"/>
      <c r="B839" s="49"/>
      <c r="C839" s="49"/>
      <c r="D839" s="50"/>
    </row>
    <row r="840" ht="12.0" customHeight="1">
      <c r="A840" s="49"/>
      <c r="B840" s="49"/>
      <c r="C840" s="49"/>
      <c r="D840" s="50"/>
    </row>
    <row r="841" ht="12.0" customHeight="1">
      <c r="A841" s="49"/>
      <c r="B841" s="49"/>
      <c r="C841" s="49"/>
      <c r="D841" s="50"/>
    </row>
    <row r="842" ht="12.0" customHeight="1">
      <c r="A842" s="49"/>
      <c r="B842" s="49"/>
      <c r="C842" s="49"/>
      <c r="D842" s="50"/>
    </row>
    <row r="843" ht="12.0" customHeight="1">
      <c r="A843" s="49"/>
      <c r="B843" s="49"/>
      <c r="C843" s="49"/>
      <c r="D843" s="50"/>
    </row>
    <row r="844" ht="12.0" customHeight="1">
      <c r="A844" s="49"/>
      <c r="B844" s="49"/>
      <c r="C844" s="49"/>
      <c r="D844" s="50"/>
    </row>
    <row r="845" ht="12.0" customHeight="1">
      <c r="A845" s="49"/>
      <c r="B845" s="49"/>
      <c r="C845" s="49"/>
      <c r="D845" s="50"/>
    </row>
    <row r="846" ht="12.0" customHeight="1">
      <c r="A846" s="49"/>
      <c r="B846" s="49"/>
      <c r="C846" s="49"/>
      <c r="D846" s="50"/>
    </row>
    <row r="847" ht="12.0" customHeight="1">
      <c r="A847" s="49"/>
      <c r="B847" s="49"/>
      <c r="C847" s="49"/>
      <c r="D847" s="50"/>
    </row>
    <row r="848" ht="12.0" customHeight="1">
      <c r="A848" s="49"/>
      <c r="B848" s="49"/>
      <c r="C848" s="49"/>
      <c r="D848" s="50"/>
    </row>
    <row r="849" ht="12.0" customHeight="1">
      <c r="A849" s="49"/>
      <c r="B849" s="49"/>
      <c r="C849" s="49"/>
      <c r="D849" s="50"/>
    </row>
    <row r="850" ht="12.0" customHeight="1">
      <c r="A850" s="49"/>
      <c r="B850" s="49"/>
      <c r="C850" s="49"/>
      <c r="D850" s="50"/>
    </row>
    <row r="851" ht="12.0" customHeight="1">
      <c r="A851" s="49"/>
      <c r="B851" s="49"/>
      <c r="C851" s="49"/>
      <c r="D851" s="50"/>
    </row>
    <row r="852" ht="12.0" customHeight="1">
      <c r="A852" s="49"/>
      <c r="B852" s="49"/>
      <c r="C852" s="49"/>
      <c r="D852" s="50"/>
    </row>
    <row r="853" ht="12.0" customHeight="1">
      <c r="A853" s="49"/>
      <c r="B853" s="49"/>
      <c r="C853" s="49"/>
      <c r="D853" s="50"/>
    </row>
    <row r="854" ht="12.0" customHeight="1">
      <c r="A854" s="49"/>
      <c r="B854" s="49"/>
      <c r="C854" s="49"/>
      <c r="D854" s="50"/>
    </row>
    <row r="855" ht="12.0" customHeight="1">
      <c r="A855" s="49"/>
      <c r="B855" s="49"/>
      <c r="C855" s="49"/>
      <c r="D855" s="50"/>
    </row>
    <row r="856" ht="12.0" customHeight="1">
      <c r="A856" s="49"/>
      <c r="B856" s="49"/>
      <c r="C856" s="49"/>
      <c r="D856" s="50"/>
    </row>
    <row r="857" ht="12.0" customHeight="1">
      <c r="A857" s="49"/>
      <c r="B857" s="49"/>
      <c r="C857" s="49"/>
      <c r="D857" s="50"/>
    </row>
    <row r="858" ht="12.0" customHeight="1">
      <c r="A858" s="49"/>
      <c r="B858" s="49"/>
      <c r="C858" s="49"/>
      <c r="D858" s="50"/>
    </row>
    <row r="859" ht="12.0" customHeight="1">
      <c r="A859" s="49"/>
      <c r="B859" s="49"/>
      <c r="C859" s="49"/>
      <c r="D859" s="50"/>
    </row>
    <row r="860" ht="12.0" customHeight="1">
      <c r="A860" s="49"/>
      <c r="B860" s="49"/>
      <c r="C860" s="49"/>
      <c r="D860" s="50"/>
    </row>
    <row r="861" ht="12.0" customHeight="1">
      <c r="A861" s="49"/>
      <c r="B861" s="49"/>
      <c r="C861" s="49"/>
      <c r="D861" s="50"/>
    </row>
    <row r="862" ht="12.0" customHeight="1">
      <c r="A862" s="49"/>
      <c r="B862" s="49"/>
      <c r="C862" s="49"/>
      <c r="D862" s="50"/>
    </row>
    <row r="863" ht="12.0" customHeight="1">
      <c r="A863" s="49"/>
      <c r="B863" s="49"/>
      <c r="C863" s="49"/>
      <c r="D863" s="50"/>
    </row>
    <row r="864" ht="12.0" customHeight="1">
      <c r="A864" s="49"/>
      <c r="B864" s="49"/>
      <c r="C864" s="49"/>
      <c r="D864" s="50"/>
    </row>
    <row r="865" ht="12.0" customHeight="1">
      <c r="A865" s="49"/>
      <c r="B865" s="49"/>
      <c r="C865" s="49"/>
      <c r="D865" s="50"/>
    </row>
    <row r="866" ht="12.0" customHeight="1">
      <c r="A866" s="49"/>
      <c r="B866" s="49"/>
      <c r="C866" s="49"/>
      <c r="D866" s="50"/>
    </row>
    <row r="867" ht="12.0" customHeight="1">
      <c r="A867" s="49"/>
      <c r="B867" s="49"/>
      <c r="C867" s="49"/>
      <c r="D867" s="50"/>
    </row>
    <row r="868" ht="12.0" customHeight="1">
      <c r="A868" s="49"/>
      <c r="B868" s="49"/>
      <c r="C868" s="49"/>
      <c r="D868" s="50"/>
    </row>
    <row r="869" ht="12.0" customHeight="1">
      <c r="A869" s="49"/>
      <c r="B869" s="49"/>
      <c r="C869" s="49"/>
      <c r="D869" s="50"/>
    </row>
    <row r="870" ht="12.0" customHeight="1">
      <c r="A870" s="49"/>
      <c r="B870" s="49"/>
      <c r="C870" s="49"/>
      <c r="D870" s="50"/>
    </row>
    <row r="871" ht="12.0" customHeight="1">
      <c r="A871" s="49"/>
      <c r="B871" s="49"/>
      <c r="C871" s="49"/>
      <c r="D871" s="50"/>
    </row>
    <row r="872" ht="12.0" customHeight="1">
      <c r="A872" s="49"/>
      <c r="B872" s="49"/>
      <c r="C872" s="49"/>
      <c r="D872" s="50"/>
    </row>
    <row r="873" ht="12.0" customHeight="1">
      <c r="A873" s="49"/>
      <c r="B873" s="49"/>
      <c r="C873" s="49"/>
      <c r="D873" s="50"/>
    </row>
    <row r="874" ht="12.0" customHeight="1">
      <c r="A874" s="49"/>
      <c r="B874" s="49"/>
      <c r="C874" s="49"/>
      <c r="D874" s="50"/>
    </row>
    <row r="875" ht="12.0" customHeight="1">
      <c r="A875" s="49"/>
      <c r="B875" s="49"/>
      <c r="C875" s="49"/>
      <c r="D875" s="50"/>
    </row>
    <row r="876" ht="12.0" customHeight="1">
      <c r="A876" s="49"/>
      <c r="B876" s="49"/>
      <c r="C876" s="49"/>
      <c r="D876" s="50"/>
    </row>
    <row r="877" ht="12.0" customHeight="1">
      <c r="A877" s="49"/>
      <c r="B877" s="49"/>
      <c r="C877" s="49"/>
      <c r="D877" s="50"/>
    </row>
    <row r="878" ht="12.0" customHeight="1">
      <c r="A878" s="49"/>
      <c r="B878" s="49"/>
      <c r="C878" s="49"/>
      <c r="D878" s="50"/>
    </row>
    <row r="879" ht="12.0" customHeight="1">
      <c r="A879" s="49"/>
      <c r="B879" s="49"/>
      <c r="C879" s="49"/>
      <c r="D879" s="50"/>
    </row>
    <row r="880" ht="12.0" customHeight="1">
      <c r="A880" s="49"/>
      <c r="B880" s="49"/>
      <c r="C880" s="49"/>
      <c r="D880" s="50"/>
    </row>
    <row r="881" ht="12.0" customHeight="1">
      <c r="A881" s="49"/>
      <c r="B881" s="49"/>
      <c r="C881" s="49"/>
      <c r="D881" s="50"/>
    </row>
    <row r="882" ht="12.0" customHeight="1">
      <c r="A882" s="49"/>
      <c r="B882" s="49"/>
      <c r="C882" s="49"/>
      <c r="D882" s="50"/>
    </row>
    <row r="883" ht="12.0" customHeight="1">
      <c r="A883" s="49"/>
      <c r="B883" s="49"/>
      <c r="C883" s="49"/>
      <c r="D883" s="50"/>
    </row>
    <row r="884" ht="12.0" customHeight="1">
      <c r="A884" s="49"/>
      <c r="B884" s="49"/>
      <c r="C884" s="49"/>
      <c r="D884" s="50"/>
    </row>
    <row r="885" ht="12.0" customHeight="1">
      <c r="A885" s="49"/>
      <c r="B885" s="49"/>
      <c r="C885" s="49"/>
      <c r="D885" s="50"/>
    </row>
    <row r="886" ht="12.0" customHeight="1">
      <c r="A886" s="49"/>
      <c r="B886" s="49"/>
      <c r="C886" s="49"/>
      <c r="D886" s="50"/>
    </row>
    <row r="887" ht="12.0" customHeight="1">
      <c r="A887" s="49"/>
      <c r="B887" s="49"/>
      <c r="C887" s="49"/>
      <c r="D887" s="50"/>
    </row>
    <row r="888" ht="12.0" customHeight="1">
      <c r="A888" s="49"/>
      <c r="B888" s="49"/>
      <c r="C888" s="49"/>
      <c r="D888" s="50"/>
    </row>
    <row r="889" ht="12.0" customHeight="1">
      <c r="A889" s="49"/>
      <c r="B889" s="49"/>
      <c r="C889" s="49"/>
      <c r="D889" s="50"/>
    </row>
    <row r="890" ht="12.0" customHeight="1">
      <c r="A890" s="49"/>
      <c r="B890" s="49"/>
      <c r="C890" s="49"/>
      <c r="D890" s="50"/>
    </row>
    <row r="891" ht="12.0" customHeight="1">
      <c r="A891" s="49"/>
      <c r="B891" s="49"/>
      <c r="C891" s="49"/>
      <c r="D891" s="50"/>
    </row>
    <row r="892" ht="12.0" customHeight="1">
      <c r="A892" s="49"/>
      <c r="B892" s="49"/>
      <c r="C892" s="49"/>
      <c r="D892" s="50"/>
    </row>
    <row r="893" ht="12.0" customHeight="1">
      <c r="A893" s="49"/>
      <c r="B893" s="49"/>
      <c r="C893" s="49"/>
      <c r="D893" s="50"/>
    </row>
    <row r="894" ht="12.0" customHeight="1">
      <c r="A894" s="49"/>
      <c r="B894" s="49"/>
      <c r="C894" s="49"/>
      <c r="D894" s="50"/>
    </row>
    <row r="895" ht="12.0" customHeight="1">
      <c r="A895" s="49"/>
      <c r="B895" s="49"/>
      <c r="C895" s="49"/>
      <c r="D895" s="50"/>
    </row>
    <row r="896" ht="12.0" customHeight="1">
      <c r="A896" s="49"/>
      <c r="B896" s="49"/>
      <c r="C896" s="49"/>
      <c r="D896" s="50"/>
    </row>
    <row r="897" ht="12.0" customHeight="1">
      <c r="A897" s="49"/>
      <c r="B897" s="49"/>
      <c r="C897" s="49"/>
      <c r="D897" s="50"/>
    </row>
    <row r="898" ht="12.0" customHeight="1">
      <c r="A898" s="49"/>
      <c r="B898" s="49"/>
      <c r="C898" s="49"/>
      <c r="D898" s="50"/>
    </row>
    <row r="899" ht="12.0" customHeight="1">
      <c r="A899" s="49"/>
      <c r="B899" s="49"/>
      <c r="C899" s="49"/>
      <c r="D899" s="50"/>
    </row>
    <row r="900" ht="12.0" customHeight="1">
      <c r="A900" s="49"/>
      <c r="B900" s="49"/>
      <c r="C900" s="49"/>
      <c r="D900" s="50"/>
    </row>
    <row r="901" ht="12.0" customHeight="1">
      <c r="A901" s="49"/>
      <c r="B901" s="49"/>
      <c r="C901" s="49"/>
      <c r="D901" s="50"/>
    </row>
    <row r="902" ht="12.0" customHeight="1">
      <c r="A902" s="49"/>
      <c r="B902" s="49"/>
      <c r="C902" s="49"/>
      <c r="D902" s="50"/>
    </row>
    <row r="903" ht="12.0" customHeight="1">
      <c r="A903" s="49"/>
      <c r="B903" s="49"/>
      <c r="C903" s="49"/>
      <c r="D903" s="50"/>
    </row>
    <row r="904" ht="12.0" customHeight="1">
      <c r="A904" s="49"/>
      <c r="B904" s="49"/>
      <c r="C904" s="49"/>
      <c r="D904" s="50"/>
    </row>
    <row r="905" ht="12.0" customHeight="1">
      <c r="A905" s="49"/>
      <c r="B905" s="49"/>
      <c r="C905" s="49"/>
      <c r="D905" s="50"/>
    </row>
    <row r="906" ht="12.0" customHeight="1">
      <c r="A906" s="49"/>
      <c r="B906" s="49"/>
      <c r="C906" s="49"/>
      <c r="D906" s="50"/>
    </row>
    <row r="907" ht="12.0" customHeight="1">
      <c r="A907" s="49"/>
      <c r="B907" s="49"/>
      <c r="C907" s="49"/>
      <c r="D907" s="50"/>
    </row>
    <row r="908" ht="12.0" customHeight="1">
      <c r="A908" s="49"/>
      <c r="B908" s="49"/>
      <c r="C908" s="49"/>
      <c r="D908" s="50"/>
    </row>
    <row r="909" ht="12.0" customHeight="1">
      <c r="A909" s="49"/>
      <c r="B909" s="49"/>
      <c r="C909" s="49"/>
      <c r="D909" s="50"/>
    </row>
    <row r="910" ht="12.0" customHeight="1">
      <c r="A910" s="49"/>
      <c r="B910" s="49"/>
      <c r="C910" s="49"/>
      <c r="D910" s="50"/>
    </row>
    <row r="911" ht="12.0" customHeight="1">
      <c r="A911" s="49"/>
      <c r="B911" s="49"/>
      <c r="C911" s="49"/>
      <c r="D911" s="50"/>
    </row>
    <row r="912" ht="12.0" customHeight="1">
      <c r="A912" s="49"/>
      <c r="B912" s="49"/>
      <c r="C912" s="49"/>
      <c r="D912" s="50"/>
    </row>
    <row r="913" ht="12.0" customHeight="1">
      <c r="A913" s="49"/>
      <c r="B913" s="49"/>
      <c r="C913" s="49"/>
      <c r="D913" s="50"/>
    </row>
    <row r="914" ht="12.0" customHeight="1">
      <c r="A914" s="49"/>
      <c r="B914" s="49"/>
      <c r="C914" s="49"/>
      <c r="D914" s="50"/>
    </row>
    <row r="915" ht="12.0" customHeight="1">
      <c r="A915" s="49"/>
      <c r="B915" s="49"/>
      <c r="C915" s="49"/>
      <c r="D915" s="50"/>
    </row>
    <row r="916" ht="12.0" customHeight="1">
      <c r="A916" s="49"/>
      <c r="B916" s="49"/>
      <c r="C916" s="49"/>
      <c r="D916" s="50"/>
    </row>
    <row r="917" ht="12.0" customHeight="1">
      <c r="A917" s="49"/>
      <c r="B917" s="49"/>
      <c r="C917" s="49"/>
      <c r="D917" s="50"/>
    </row>
    <row r="918" ht="12.0" customHeight="1">
      <c r="A918" s="49"/>
      <c r="B918" s="49"/>
      <c r="C918" s="49"/>
      <c r="D918" s="50"/>
    </row>
    <row r="919" ht="12.0" customHeight="1">
      <c r="A919" s="49"/>
      <c r="B919" s="49"/>
      <c r="C919" s="49"/>
      <c r="D919" s="50"/>
    </row>
    <row r="920" ht="12.0" customHeight="1">
      <c r="A920" s="49"/>
      <c r="B920" s="49"/>
      <c r="C920" s="49"/>
      <c r="D920" s="50"/>
    </row>
    <row r="921" ht="12.0" customHeight="1">
      <c r="A921" s="49"/>
      <c r="B921" s="49"/>
      <c r="C921" s="49"/>
      <c r="D921" s="50"/>
    </row>
    <row r="922" ht="12.0" customHeight="1">
      <c r="A922" s="49"/>
      <c r="B922" s="49"/>
      <c r="C922" s="49"/>
      <c r="D922" s="50"/>
    </row>
    <row r="923" ht="12.0" customHeight="1">
      <c r="A923" s="49"/>
      <c r="B923" s="49"/>
      <c r="C923" s="49"/>
      <c r="D923" s="50"/>
    </row>
    <row r="924" ht="12.0" customHeight="1">
      <c r="A924" s="49"/>
      <c r="B924" s="49"/>
      <c r="C924" s="49"/>
      <c r="D924" s="50"/>
    </row>
    <row r="925" ht="12.0" customHeight="1">
      <c r="A925" s="49"/>
      <c r="B925" s="49"/>
      <c r="C925" s="49"/>
      <c r="D925" s="50"/>
    </row>
    <row r="926" ht="12.0" customHeight="1">
      <c r="A926" s="49"/>
      <c r="B926" s="49"/>
      <c r="C926" s="49"/>
      <c r="D926" s="50"/>
    </row>
    <row r="927" ht="12.0" customHeight="1">
      <c r="A927" s="49"/>
      <c r="B927" s="49"/>
      <c r="C927" s="49"/>
      <c r="D927" s="50"/>
    </row>
    <row r="928" ht="12.0" customHeight="1">
      <c r="A928" s="49"/>
      <c r="B928" s="49"/>
      <c r="C928" s="49"/>
      <c r="D928" s="50"/>
    </row>
    <row r="929" ht="12.0" customHeight="1">
      <c r="A929" s="49"/>
      <c r="B929" s="49"/>
      <c r="C929" s="49"/>
      <c r="D929" s="50"/>
    </row>
    <row r="930" ht="12.0" customHeight="1">
      <c r="A930" s="49"/>
      <c r="B930" s="49"/>
      <c r="C930" s="49"/>
      <c r="D930" s="50"/>
    </row>
    <row r="931" ht="12.0" customHeight="1">
      <c r="A931" s="49"/>
      <c r="B931" s="49"/>
      <c r="C931" s="49"/>
      <c r="D931" s="50"/>
    </row>
    <row r="932" ht="12.0" customHeight="1">
      <c r="A932" s="49"/>
      <c r="B932" s="49"/>
      <c r="C932" s="49"/>
      <c r="D932" s="50"/>
    </row>
    <row r="933" ht="12.0" customHeight="1">
      <c r="A933" s="49"/>
      <c r="B933" s="49"/>
      <c r="C933" s="49"/>
      <c r="D933" s="50"/>
    </row>
    <row r="934" ht="12.0" customHeight="1">
      <c r="A934" s="49"/>
      <c r="B934" s="49"/>
      <c r="C934" s="49"/>
      <c r="D934" s="50"/>
    </row>
    <row r="935" ht="12.0" customHeight="1">
      <c r="A935" s="49"/>
      <c r="B935" s="49"/>
      <c r="C935" s="49"/>
      <c r="D935" s="50"/>
    </row>
    <row r="936" ht="12.0" customHeight="1">
      <c r="A936" s="49"/>
      <c r="B936" s="49"/>
      <c r="C936" s="49"/>
      <c r="D936" s="50"/>
    </row>
    <row r="937" ht="12.0" customHeight="1">
      <c r="A937" s="49"/>
      <c r="B937" s="49"/>
      <c r="C937" s="49"/>
      <c r="D937" s="50"/>
    </row>
    <row r="938" ht="12.0" customHeight="1">
      <c r="A938" s="49"/>
      <c r="B938" s="49"/>
      <c r="C938" s="49"/>
      <c r="D938" s="50"/>
    </row>
    <row r="939" ht="12.0" customHeight="1">
      <c r="A939" s="49"/>
      <c r="B939" s="49"/>
      <c r="C939" s="49"/>
      <c r="D939" s="50"/>
    </row>
    <row r="940" ht="12.0" customHeight="1">
      <c r="A940" s="49"/>
      <c r="B940" s="49"/>
      <c r="C940" s="49"/>
      <c r="D940" s="50"/>
    </row>
    <row r="941" ht="12.0" customHeight="1">
      <c r="A941" s="49"/>
      <c r="B941" s="49"/>
      <c r="C941" s="49"/>
      <c r="D941" s="50"/>
    </row>
    <row r="942" ht="12.0" customHeight="1">
      <c r="A942" s="49"/>
      <c r="B942" s="49"/>
      <c r="C942" s="49"/>
      <c r="D942" s="50"/>
    </row>
    <row r="943" ht="12.0" customHeight="1">
      <c r="A943" s="49"/>
      <c r="B943" s="49"/>
      <c r="C943" s="49"/>
      <c r="D943" s="50"/>
    </row>
    <row r="944" ht="12.0" customHeight="1">
      <c r="A944" s="49"/>
      <c r="B944" s="49"/>
      <c r="C944" s="49"/>
      <c r="D944" s="50"/>
    </row>
    <row r="945" ht="12.0" customHeight="1">
      <c r="A945" s="49"/>
      <c r="B945" s="49"/>
      <c r="C945" s="49"/>
      <c r="D945" s="50"/>
    </row>
    <row r="946" ht="12.0" customHeight="1">
      <c r="A946" s="49"/>
      <c r="B946" s="49"/>
      <c r="C946" s="49"/>
      <c r="D946" s="50"/>
    </row>
    <row r="947" ht="12.0" customHeight="1">
      <c r="A947" s="49"/>
      <c r="B947" s="49"/>
      <c r="C947" s="49"/>
      <c r="D947" s="50"/>
    </row>
    <row r="948" ht="12.0" customHeight="1">
      <c r="A948" s="49"/>
      <c r="B948" s="49"/>
      <c r="C948" s="49"/>
      <c r="D948" s="50"/>
    </row>
    <row r="949" ht="12.0" customHeight="1">
      <c r="A949" s="49"/>
      <c r="B949" s="49"/>
      <c r="C949" s="49"/>
      <c r="D949" s="50"/>
    </row>
    <row r="950" ht="12.0" customHeight="1">
      <c r="A950" s="49"/>
      <c r="B950" s="49"/>
      <c r="C950" s="49"/>
      <c r="D950" s="50"/>
    </row>
    <row r="951" ht="12.0" customHeight="1">
      <c r="A951" s="49"/>
      <c r="B951" s="49"/>
      <c r="C951" s="49"/>
      <c r="D951" s="50"/>
    </row>
    <row r="952" ht="12.0" customHeight="1">
      <c r="A952" s="49"/>
      <c r="B952" s="49"/>
      <c r="C952" s="49"/>
      <c r="D952" s="50"/>
    </row>
    <row r="953" ht="12.0" customHeight="1">
      <c r="A953" s="49"/>
      <c r="B953" s="49"/>
      <c r="C953" s="49"/>
      <c r="D953" s="50"/>
    </row>
    <row r="954" ht="12.0" customHeight="1">
      <c r="A954" s="49"/>
      <c r="B954" s="49"/>
      <c r="C954" s="49"/>
      <c r="D954" s="50"/>
    </row>
    <row r="955" ht="12.0" customHeight="1">
      <c r="A955" s="49"/>
      <c r="B955" s="49"/>
      <c r="C955" s="49"/>
      <c r="D955" s="50"/>
    </row>
    <row r="956" ht="12.0" customHeight="1">
      <c r="A956" s="49"/>
      <c r="B956" s="49"/>
      <c r="C956" s="49"/>
      <c r="D956" s="50"/>
    </row>
    <row r="957" ht="12.0" customHeight="1">
      <c r="A957" s="49"/>
      <c r="B957" s="49"/>
      <c r="C957" s="49"/>
      <c r="D957" s="50"/>
    </row>
    <row r="958" ht="12.0" customHeight="1">
      <c r="A958" s="49"/>
      <c r="B958" s="49"/>
      <c r="C958" s="49"/>
      <c r="D958" s="50"/>
    </row>
    <row r="959" ht="12.0" customHeight="1">
      <c r="A959" s="49"/>
      <c r="B959" s="49"/>
      <c r="C959" s="49"/>
      <c r="D959" s="50"/>
    </row>
    <row r="960" ht="12.0" customHeight="1">
      <c r="A960" s="49"/>
      <c r="B960" s="49"/>
      <c r="C960" s="49"/>
      <c r="D960" s="50"/>
    </row>
    <row r="961" ht="12.0" customHeight="1">
      <c r="A961" s="49"/>
      <c r="B961" s="49"/>
      <c r="C961" s="49"/>
      <c r="D961" s="50"/>
    </row>
    <row r="962" ht="12.0" customHeight="1">
      <c r="A962" s="49"/>
      <c r="B962" s="49"/>
      <c r="C962" s="49"/>
      <c r="D962" s="50"/>
    </row>
    <row r="963" ht="12.0" customHeight="1">
      <c r="A963" s="49"/>
      <c r="B963" s="49"/>
      <c r="C963" s="49"/>
      <c r="D963" s="50"/>
    </row>
    <row r="964" ht="12.0" customHeight="1">
      <c r="A964" s="49"/>
      <c r="B964" s="49"/>
      <c r="C964" s="49"/>
      <c r="D964" s="50"/>
    </row>
    <row r="965" ht="12.0" customHeight="1">
      <c r="A965" s="49"/>
      <c r="B965" s="49"/>
      <c r="C965" s="49"/>
      <c r="D965" s="50"/>
    </row>
    <row r="966" ht="12.0" customHeight="1">
      <c r="A966" s="49"/>
      <c r="B966" s="49"/>
      <c r="C966" s="49"/>
      <c r="D966" s="50"/>
    </row>
    <row r="967" ht="12.0" customHeight="1">
      <c r="A967" s="49"/>
      <c r="B967" s="49"/>
      <c r="C967" s="49"/>
      <c r="D967" s="50"/>
    </row>
    <row r="968" ht="12.0" customHeight="1">
      <c r="A968" s="49"/>
      <c r="B968" s="49"/>
      <c r="C968" s="49"/>
      <c r="D968" s="50"/>
    </row>
    <row r="969" ht="12.0" customHeight="1">
      <c r="A969" s="49"/>
      <c r="B969" s="49"/>
      <c r="C969" s="49"/>
      <c r="D969" s="50"/>
    </row>
    <row r="970" ht="12.0" customHeight="1">
      <c r="A970" s="49"/>
      <c r="B970" s="49"/>
      <c r="C970" s="49"/>
      <c r="D970" s="50"/>
    </row>
    <row r="971" ht="12.0" customHeight="1">
      <c r="A971" s="49"/>
      <c r="B971" s="49"/>
      <c r="C971" s="49"/>
      <c r="D971" s="50"/>
    </row>
    <row r="972" ht="12.0" customHeight="1">
      <c r="A972" s="49"/>
      <c r="B972" s="49"/>
      <c r="C972" s="49"/>
      <c r="D972" s="50"/>
    </row>
    <row r="973" ht="12.0" customHeight="1">
      <c r="A973" s="49"/>
      <c r="B973" s="49"/>
      <c r="C973" s="49"/>
      <c r="D973" s="50"/>
    </row>
    <row r="974" ht="12.0" customHeight="1">
      <c r="A974" s="49"/>
      <c r="B974" s="49"/>
      <c r="C974" s="49"/>
      <c r="D974" s="50"/>
    </row>
    <row r="975" ht="12.0" customHeight="1">
      <c r="A975" s="49"/>
      <c r="B975" s="49"/>
      <c r="C975" s="49"/>
      <c r="D975" s="50"/>
    </row>
    <row r="976" ht="12.0" customHeight="1">
      <c r="A976" s="49"/>
      <c r="B976" s="49"/>
      <c r="C976" s="49"/>
      <c r="D976" s="50"/>
    </row>
    <row r="977" ht="12.0" customHeight="1">
      <c r="A977" s="49"/>
      <c r="B977" s="49"/>
      <c r="C977" s="49"/>
      <c r="D977" s="50"/>
    </row>
    <row r="978" ht="12.0" customHeight="1">
      <c r="A978" s="49"/>
      <c r="B978" s="49"/>
      <c r="C978" s="49"/>
      <c r="D978" s="50"/>
    </row>
    <row r="979" ht="12.0" customHeight="1">
      <c r="A979" s="49"/>
      <c r="B979" s="49"/>
      <c r="C979" s="49"/>
      <c r="D979" s="50"/>
    </row>
    <row r="980" ht="12.0" customHeight="1">
      <c r="A980" s="49"/>
      <c r="B980" s="49"/>
      <c r="C980" s="49"/>
      <c r="D980" s="50"/>
    </row>
    <row r="981" ht="12.0" customHeight="1">
      <c r="A981" s="49"/>
      <c r="B981" s="49"/>
      <c r="C981" s="49"/>
      <c r="D981" s="50"/>
    </row>
    <row r="982" ht="12.0" customHeight="1">
      <c r="A982" s="49"/>
      <c r="B982" s="49"/>
      <c r="C982" s="49"/>
      <c r="D982" s="50"/>
    </row>
    <row r="983" ht="12.0" customHeight="1">
      <c r="A983" s="49"/>
      <c r="B983" s="49"/>
      <c r="C983" s="49"/>
      <c r="D983" s="50"/>
    </row>
    <row r="984" ht="12.0" customHeight="1">
      <c r="A984" s="49"/>
      <c r="B984" s="49"/>
      <c r="C984" s="49"/>
      <c r="D984" s="50"/>
    </row>
    <row r="985" ht="12.0" customHeight="1">
      <c r="A985" s="49"/>
      <c r="B985" s="49"/>
      <c r="C985" s="49"/>
      <c r="D985" s="50"/>
    </row>
    <row r="986" ht="12.0" customHeight="1">
      <c r="A986" s="49"/>
      <c r="B986" s="49"/>
      <c r="C986" s="49"/>
      <c r="D986" s="50"/>
    </row>
    <row r="987" ht="12.0" customHeight="1">
      <c r="A987" s="49"/>
      <c r="B987" s="49"/>
      <c r="C987" s="49"/>
      <c r="D987" s="50"/>
    </row>
    <row r="988" ht="12.0" customHeight="1">
      <c r="A988" s="49"/>
      <c r="B988" s="49"/>
      <c r="C988" s="49"/>
      <c r="D988" s="50"/>
    </row>
    <row r="989" ht="12.0" customHeight="1">
      <c r="A989" s="49"/>
      <c r="B989" s="49"/>
      <c r="C989" s="49"/>
      <c r="D989" s="50"/>
    </row>
    <row r="990" ht="12.0" customHeight="1">
      <c r="A990" s="49"/>
      <c r="B990" s="49"/>
      <c r="C990" s="49"/>
      <c r="D990" s="50"/>
    </row>
    <row r="991" ht="12.0" customHeight="1">
      <c r="A991" s="49"/>
      <c r="B991" s="49"/>
      <c r="C991" s="49"/>
      <c r="D991" s="50"/>
    </row>
    <row r="992" ht="12.0" customHeight="1">
      <c r="A992" s="49"/>
      <c r="B992" s="49"/>
      <c r="C992" s="49"/>
      <c r="D992" s="50"/>
    </row>
    <row r="993" ht="12.0" customHeight="1">
      <c r="A993" s="49"/>
      <c r="B993" s="49"/>
      <c r="C993" s="49"/>
      <c r="D993" s="50"/>
    </row>
    <row r="994" ht="12.0" customHeight="1">
      <c r="A994" s="49"/>
      <c r="B994" s="49"/>
      <c r="C994" s="49"/>
      <c r="D994" s="50"/>
    </row>
    <row r="995" ht="12.0" customHeight="1">
      <c r="A995" s="49"/>
      <c r="B995" s="49"/>
      <c r="C995" s="49"/>
      <c r="D995" s="50"/>
    </row>
    <row r="996" ht="12.0" customHeight="1">
      <c r="A996" s="49"/>
      <c r="B996" s="49"/>
      <c r="C996" s="49"/>
      <c r="D996" s="50"/>
    </row>
    <row r="997" ht="12.0" customHeight="1">
      <c r="A997" s="49"/>
      <c r="B997" s="49"/>
      <c r="C997" s="49"/>
      <c r="D997" s="50"/>
    </row>
    <row r="998" ht="12.0" customHeight="1">
      <c r="A998" s="49"/>
      <c r="B998" s="49"/>
      <c r="C998" s="49"/>
      <c r="D998" s="50"/>
    </row>
    <row r="999" ht="12.0" customHeight="1">
      <c r="A999" s="49"/>
      <c r="B999" s="49"/>
      <c r="C999" s="49"/>
      <c r="D999" s="50"/>
    </row>
    <row r="1000" ht="12.0" customHeight="1">
      <c r="A1000" s="49"/>
      <c r="B1000" s="49"/>
      <c r="C1000" s="49"/>
      <c r="D1000" s="5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12.71"/>
    <col customWidth="1" min="8" max="8" width="16.57"/>
    <col customWidth="1" min="9" max="9" width="8.57"/>
    <col customWidth="1" min="10" max="26" width="12.71"/>
  </cols>
  <sheetData>
    <row r="1" ht="20.25" customHeight="1">
      <c r="A1" s="51" t="str">
        <f>IF('長期'!A1="","",'長期'!A1)</f>
        <v>日付</v>
      </c>
      <c r="B1" s="52" t="s">
        <v>16</v>
      </c>
      <c r="C1" s="19" t="s">
        <v>17</v>
      </c>
      <c r="D1" s="19" t="s">
        <v>4</v>
      </c>
      <c r="E1" s="19" t="s">
        <v>18</v>
      </c>
      <c r="F1" s="19" t="s">
        <v>12</v>
      </c>
      <c r="H1" s="53" t="s">
        <v>19</v>
      </c>
      <c r="I1" s="54">
        <f>STDEV(D470:D494)</f>
        <v>22.37952934</v>
      </c>
    </row>
    <row r="2" ht="12.0" customHeight="1">
      <c r="A2" s="55">
        <f>IF('長期'!A494="","",'長期'!A494)</f>
        <v>44762</v>
      </c>
      <c r="B2" s="19"/>
      <c r="C2" s="19"/>
      <c r="D2" s="40">
        <f>'長期'!D494</f>
        <v>130</v>
      </c>
      <c r="E2" s="19"/>
      <c r="F2" s="19"/>
      <c r="H2" s="56"/>
    </row>
    <row r="3" ht="12.0" customHeight="1">
      <c r="A3" s="55">
        <f>IF('長期'!A493="","",'長期'!A493)</f>
        <v>44763</v>
      </c>
      <c r="B3" s="19"/>
      <c r="C3" s="19"/>
      <c r="D3" s="40">
        <f>'長期'!D493</f>
        <v>146</v>
      </c>
      <c r="E3" s="19"/>
      <c r="F3" s="19"/>
    </row>
    <row r="4" ht="12.0" customHeight="1">
      <c r="A4" s="55">
        <f>IF('長期'!A492="","",'長期'!A492)</f>
        <v>44764</v>
      </c>
      <c r="B4" s="19"/>
      <c r="C4" s="19"/>
      <c r="D4" s="40">
        <f>'長期'!D492</f>
        <v>143</v>
      </c>
      <c r="E4" s="19"/>
      <c r="F4" s="19"/>
    </row>
    <row r="5" ht="12.0" customHeight="1">
      <c r="A5" s="55">
        <f>IF('長期'!A491="","",'長期'!A491)</f>
        <v>44767</v>
      </c>
      <c r="B5" s="19"/>
      <c r="C5" s="19"/>
      <c r="D5" s="40">
        <f>'長期'!D491</f>
        <v>138</v>
      </c>
      <c r="E5" s="19"/>
      <c r="F5" s="19"/>
    </row>
    <row r="6" ht="12.0" customHeight="1">
      <c r="A6" s="55">
        <f>IF('長期'!A490="","",'長期'!A490)</f>
        <v>44768</v>
      </c>
      <c r="B6" s="19"/>
      <c r="C6" s="19"/>
      <c r="D6" s="40">
        <f>'長期'!D490</f>
        <v>141</v>
      </c>
      <c r="E6" s="19"/>
      <c r="F6" s="19"/>
    </row>
    <row r="7" ht="12.0" customHeight="1">
      <c r="A7" s="55">
        <f>IF('長期'!A489="","",'長期'!A489)</f>
        <v>44769</v>
      </c>
      <c r="B7" s="19"/>
      <c r="C7" s="19"/>
      <c r="D7" s="40">
        <f>'長期'!D489</f>
        <v>138</v>
      </c>
      <c r="E7" s="19"/>
      <c r="F7" s="19"/>
    </row>
    <row r="8" ht="12.0" customHeight="1">
      <c r="A8" s="55">
        <f>IF('長期'!A488="","",'長期'!A488)</f>
        <v>44770</v>
      </c>
      <c r="B8" s="19"/>
      <c r="C8" s="19"/>
      <c r="D8" s="40">
        <f>'長期'!D488</f>
        <v>137</v>
      </c>
      <c r="E8" s="19"/>
      <c r="F8" s="19"/>
    </row>
    <row r="9" ht="12.0" customHeight="1">
      <c r="A9" s="55">
        <f>IF('長期'!A487="","",'長期'!A487)</f>
        <v>44771</v>
      </c>
      <c r="B9" s="19"/>
      <c r="C9" s="19"/>
      <c r="D9" s="40">
        <f>'長期'!D487</f>
        <v>140</v>
      </c>
      <c r="E9" s="19"/>
      <c r="F9" s="19"/>
    </row>
    <row r="10" ht="12.0" customHeight="1">
      <c r="A10" s="55">
        <f>IF('長期'!A486="","",'長期'!A486)</f>
        <v>44774</v>
      </c>
      <c r="B10" s="19"/>
      <c r="C10" s="19"/>
      <c r="D10" s="40">
        <f>'長期'!D486</f>
        <v>143</v>
      </c>
      <c r="E10" s="19"/>
      <c r="F10" s="19"/>
    </row>
    <row r="11" ht="12.0" customHeight="1">
      <c r="A11" s="55">
        <f>IF('長期'!A485="","",'長期'!A485)</f>
        <v>44775</v>
      </c>
      <c r="B11" s="19"/>
      <c r="C11" s="19"/>
      <c r="D11" s="40">
        <f>'長期'!D485</f>
        <v>143</v>
      </c>
      <c r="E11" s="19"/>
      <c r="F11" s="19"/>
    </row>
    <row r="12" ht="12.0" customHeight="1">
      <c r="A12" s="55">
        <f>IF('長期'!A484="","",'長期'!A484)</f>
        <v>44776</v>
      </c>
      <c r="B12" s="19"/>
      <c r="C12" s="19"/>
      <c r="D12" s="40">
        <f>'長期'!D484</f>
        <v>143</v>
      </c>
      <c r="E12" s="19"/>
      <c r="F12" s="19"/>
    </row>
    <row r="13" ht="12.0" customHeight="1">
      <c r="A13" s="55">
        <f>IF('長期'!A483="","",'長期'!A483)</f>
        <v>44777</v>
      </c>
      <c r="B13" s="19"/>
      <c r="C13" s="19"/>
      <c r="D13" s="40">
        <f>'長期'!D483</f>
        <v>145</v>
      </c>
      <c r="E13" s="19"/>
      <c r="F13" s="19"/>
    </row>
    <row r="14" ht="12.0" customHeight="1">
      <c r="A14" s="55">
        <f>IF('長期'!A482="","",'長期'!A482)</f>
        <v>44778</v>
      </c>
      <c r="B14" s="19"/>
      <c r="C14" s="19"/>
      <c r="D14" s="40">
        <f>'長期'!D482</f>
        <v>144</v>
      </c>
      <c r="E14" s="19"/>
      <c r="F14" s="19"/>
    </row>
    <row r="15" ht="12.0" customHeight="1">
      <c r="A15" s="55">
        <f>IF('長期'!A481="","",'長期'!A481)</f>
        <v>44781</v>
      </c>
      <c r="B15" s="19"/>
      <c r="C15" s="19"/>
      <c r="D15" s="40">
        <f>'長期'!D481</f>
        <v>131</v>
      </c>
      <c r="E15" s="19"/>
      <c r="F15" s="19"/>
    </row>
    <row r="16" ht="12.0" customHeight="1">
      <c r="A16" s="55">
        <f>IF('長期'!A480="","",'長期'!A480)</f>
        <v>44782</v>
      </c>
      <c r="B16" s="19"/>
      <c r="C16" s="19"/>
      <c r="D16" s="40">
        <f>'長期'!D480</f>
        <v>129</v>
      </c>
      <c r="E16" s="19"/>
      <c r="F16" s="19"/>
    </row>
    <row r="17" ht="12.0" customHeight="1">
      <c r="A17" s="55">
        <f>IF('長期'!A479="","",'長期'!A479)</f>
        <v>44783</v>
      </c>
      <c r="B17" s="19"/>
      <c r="C17" s="19"/>
      <c r="D17" s="40">
        <f>'長期'!D479</f>
        <v>128</v>
      </c>
      <c r="E17" s="19"/>
      <c r="F17" s="19"/>
    </row>
    <row r="18" ht="12.0" customHeight="1">
      <c r="A18" s="55">
        <f>IF('長期'!A478="","",'長期'!A478)</f>
        <v>44785</v>
      </c>
      <c r="B18" s="19"/>
      <c r="C18" s="19"/>
      <c r="D18" s="40">
        <f>'長期'!D478</f>
        <v>128</v>
      </c>
      <c r="E18" s="19"/>
      <c r="F18" s="19"/>
    </row>
    <row r="19" ht="12.0" customHeight="1">
      <c r="A19" s="55">
        <f>IF('長期'!A477="","",'長期'!A477)</f>
        <v>44788</v>
      </c>
      <c r="B19" s="19"/>
      <c r="C19" s="19"/>
      <c r="D19" s="40">
        <f>'長期'!D477</f>
        <v>130</v>
      </c>
      <c r="E19" s="19"/>
      <c r="F19" s="19"/>
    </row>
    <row r="20" ht="12.0" customHeight="1">
      <c r="A20" s="55">
        <f>IF('長期'!A476="","",'長期'!A476)</f>
        <v>44789</v>
      </c>
      <c r="B20" s="19"/>
      <c r="C20" s="19"/>
      <c r="D20" s="40">
        <f>'長期'!D476</f>
        <v>131</v>
      </c>
      <c r="E20" s="19"/>
      <c r="F20" s="19"/>
    </row>
    <row r="21" ht="12.0" customHeight="1">
      <c r="A21" s="55">
        <f>IF('長期'!A475="","",'長期'!A475)</f>
        <v>44790</v>
      </c>
      <c r="B21" s="19"/>
      <c r="C21" s="19"/>
      <c r="D21" s="40">
        <f>'長期'!D475</f>
        <v>132</v>
      </c>
      <c r="E21" s="19"/>
      <c r="F21" s="19"/>
    </row>
    <row r="22" ht="12.0" customHeight="1">
      <c r="A22" s="55">
        <f>IF('長期'!A474="","",'長期'!A474)</f>
        <v>44791</v>
      </c>
      <c r="B22" s="19"/>
      <c r="C22" s="19"/>
      <c r="D22" s="40">
        <f>'長期'!D474</f>
        <v>128</v>
      </c>
      <c r="E22" s="19"/>
      <c r="F22" s="19"/>
    </row>
    <row r="23" ht="12.0" customHeight="1">
      <c r="A23" s="55">
        <f>IF('長期'!A473="","",'長期'!A473)</f>
        <v>44792</v>
      </c>
      <c r="B23" s="57"/>
      <c r="C23" s="19"/>
      <c r="D23" s="40">
        <f>'長期'!D473</f>
        <v>130</v>
      </c>
      <c r="E23" s="19"/>
      <c r="F23" s="19"/>
    </row>
    <row r="24" ht="12.0" customHeight="1">
      <c r="A24" s="55">
        <f>IF('長期'!A472="","",'長期'!A472)</f>
        <v>44795</v>
      </c>
      <c r="B24" s="19"/>
      <c r="C24" s="19"/>
      <c r="D24" s="40">
        <f>'長期'!D472</f>
        <v>135</v>
      </c>
      <c r="E24" s="19"/>
      <c r="F24" s="19"/>
    </row>
    <row r="25" ht="12.0" customHeight="1">
      <c r="A25" s="58">
        <f>IF('長期'!A471="","",'長期'!A471)</f>
        <v>44796</v>
      </c>
      <c r="B25" s="40">
        <f>AVERAGE(D2:D25)+STDEV(D2:D25)*2</f>
        <v>148.8646421</v>
      </c>
      <c r="C25" s="40">
        <f>AVERAGE(D2:D25)+STDEV(D2:D25)</f>
        <v>142.5781544</v>
      </c>
      <c r="D25" s="40">
        <f>'長期'!D471</f>
        <v>138</v>
      </c>
      <c r="E25" s="40">
        <f>AVERAGE(D2:D25)-STDEV(D2:D25)</f>
        <v>130.005179</v>
      </c>
      <c r="F25" s="40">
        <f>AVERAGE(D2:D25)-STDEV(D2:D25)*2</f>
        <v>123.7186913</v>
      </c>
    </row>
    <row r="26" ht="12.0" customHeight="1">
      <c r="A26" s="55">
        <f>IF('長期'!A470="","",'長期'!A470)</f>
        <v>44797</v>
      </c>
      <c r="B26" s="40">
        <f t="shared" ref="B26:B494" si="1">AVERAGE(D2:D26)+STDEV(D2:D26)*2</f>
        <v>148.6872057</v>
      </c>
      <c r="C26" s="40">
        <f t="shared" ref="C26:C494" si="2">AVERAGE(D2:D26)+STDEV(D2:D26)</f>
        <v>142.5236028</v>
      </c>
      <c r="D26" s="40">
        <f>'長期'!D470</f>
        <v>138</v>
      </c>
      <c r="E26" s="40">
        <f t="shared" ref="E26:E494" si="3">AVERAGE(D2:D26)-STDEV(D2:D26)</f>
        <v>130.1963972</v>
      </c>
      <c r="F26" s="40">
        <f t="shared" ref="F26:F494" si="4">AVERAGE(D2:D26)-STDEV(D2:D26)*2</f>
        <v>124.0327943</v>
      </c>
      <c r="H26" s="59"/>
    </row>
    <row r="27" ht="12.0" customHeight="1">
      <c r="A27" s="55">
        <f>IF('長期'!A469="","",'長期'!A469)</f>
        <v>44798</v>
      </c>
      <c r="B27" s="40">
        <f t="shared" si="1"/>
        <v>148.8744542</v>
      </c>
      <c r="C27" s="40">
        <f t="shared" si="2"/>
        <v>142.8172271</v>
      </c>
      <c r="D27" s="40">
        <f>'長期'!D469</f>
        <v>140</v>
      </c>
      <c r="E27" s="40">
        <f t="shared" si="3"/>
        <v>130.7027729</v>
      </c>
      <c r="F27" s="40">
        <f t="shared" si="4"/>
        <v>124.6455458</v>
      </c>
    </row>
    <row r="28" ht="12.0" customHeight="1">
      <c r="A28" s="55">
        <f>IF('長期'!A468="","",'長期'!A468)</f>
        <v>44799</v>
      </c>
      <c r="B28" s="40">
        <f t="shared" si="1"/>
        <v>148.0975645</v>
      </c>
      <c r="C28" s="40">
        <f t="shared" si="2"/>
        <v>142.3087823</v>
      </c>
      <c r="D28" s="40">
        <f>'長期'!D468</f>
        <v>140</v>
      </c>
      <c r="E28" s="40">
        <f t="shared" si="3"/>
        <v>130.7312177</v>
      </c>
      <c r="F28" s="40">
        <f t="shared" si="4"/>
        <v>124.9424355</v>
      </c>
    </row>
    <row r="29" ht="12.0" customHeight="1">
      <c r="A29" s="55">
        <f>IF('長期'!A467="","",'長期'!A467)</f>
        <v>44802</v>
      </c>
      <c r="B29" s="40">
        <f t="shared" si="1"/>
        <v>147.8575304</v>
      </c>
      <c r="C29" s="40">
        <f t="shared" si="2"/>
        <v>142.1487652</v>
      </c>
      <c r="D29" s="40">
        <f>'長期'!D467</f>
        <v>141</v>
      </c>
      <c r="E29" s="40">
        <f t="shared" si="3"/>
        <v>130.7312348</v>
      </c>
      <c r="F29" s="40">
        <f t="shared" si="4"/>
        <v>125.0224696</v>
      </c>
    </row>
    <row r="30" ht="12.0" customHeight="1">
      <c r="A30" s="55">
        <f>IF('長期'!A466="","",'長期'!A466)</f>
        <v>44803</v>
      </c>
      <c r="B30" s="40">
        <f t="shared" si="1"/>
        <v>147.9272704</v>
      </c>
      <c r="C30" s="40">
        <f t="shared" si="2"/>
        <v>142.2036352</v>
      </c>
      <c r="D30" s="40">
        <f>'長期'!D466</f>
        <v>139</v>
      </c>
      <c r="E30" s="40">
        <f t="shared" si="3"/>
        <v>130.7563648</v>
      </c>
      <c r="F30" s="40">
        <f t="shared" si="4"/>
        <v>125.0327296</v>
      </c>
    </row>
    <row r="31" ht="12.0" customHeight="1">
      <c r="A31" s="55">
        <f>IF('長期'!A465="","",'長期'!A465)</f>
        <v>44804</v>
      </c>
      <c r="B31" s="40">
        <f t="shared" si="1"/>
        <v>148.039838</v>
      </c>
      <c r="C31" s="40">
        <f t="shared" si="2"/>
        <v>142.279919</v>
      </c>
      <c r="D31" s="40">
        <f>'長期'!D465</f>
        <v>142</v>
      </c>
      <c r="E31" s="40">
        <f t="shared" si="3"/>
        <v>130.760081</v>
      </c>
      <c r="F31" s="40">
        <f t="shared" si="4"/>
        <v>125.000162</v>
      </c>
    </row>
    <row r="32" ht="12.0" customHeight="1">
      <c r="A32" s="55">
        <f>IF('長期'!A464="","",'長期'!A464)</f>
        <v>44805</v>
      </c>
      <c r="B32" s="40">
        <f t="shared" si="1"/>
        <v>148.10816</v>
      </c>
      <c r="C32" s="40">
        <f t="shared" si="2"/>
        <v>142.33408</v>
      </c>
      <c r="D32" s="40">
        <f>'長期'!D464</f>
        <v>139</v>
      </c>
      <c r="E32" s="40">
        <f t="shared" si="3"/>
        <v>130.78592</v>
      </c>
      <c r="F32" s="40">
        <f t="shared" si="4"/>
        <v>125.01184</v>
      </c>
    </row>
    <row r="33" ht="12.0" customHeight="1">
      <c r="A33" s="55">
        <f>IF('長期'!A463="","",'長期'!A463)</f>
        <v>44806</v>
      </c>
      <c r="B33" s="40">
        <f t="shared" si="1"/>
        <v>148.0431599</v>
      </c>
      <c r="C33" s="40">
        <f t="shared" si="2"/>
        <v>142.2615799</v>
      </c>
      <c r="D33" s="40">
        <f>'長期'!D463</f>
        <v>135</v>
      </c>
      <c r="E33" s="40">
        <f t="shared" si="3"/>
        <v>130.6984201</v>
      </c>
      <c r="F33" s="40">
        <f t="shared" si="4"/>
        <v>124.9168401</v>
      </c>
    </row>
    <row r="34" ht="12.0" customHeight="1">
      <c r="A34" s="55">
        <f>IF('長期'!A462="","",'長期'!A462)</f>
        <v>44809</v>
      </c>
      <c r="B34" s="40">
        <f t="shared" si="1"/>
        <v>147.790542</v>
      </c>
      <c r="C34" s="40">
        <f t="shared" si="2"/>
        <v>142.055271</v>
      </c>
      <c r="D34" s="40">
        <f>'長期'!D462</f>
        <v>136</v>
      </c>
      <c r="E34" s="40">
        <f t="shared" si="3"/>
        <v>130.584729</v>
      </c>
      <c r="F34" s="40">
        <f t="shared" si="4"/>
        <v>124.849458</v>
      </c>
    </row>
    <row r="35" ht="12.0" customHeight="1">
      <c r="A35" s="55">
        <f>IF('長期'!A461="","",'長期'!A461)</f>
        <v>44810</v>
      </c>
      <c r="B35" s="40">
        <f t="shared" si="1"/>
        <v>147.1677431</v>
      </c>
      <c r="C35" s="40">
        <f t="shared" si="2"/>
        <v>141.6038716</v>
      </c>
      <c r="D35" s="40">
        <f>'長期'!D461</f>
        <v>136</v>
      </c>
      <c r="E35" s="40">
        <f t="shared" si="3"/>
        <v>130.4761284</v>
      </c>
      <c r="F35" s="40">
        <f t="shared" si="4"/>
        <v>124.9122569</v>
      </c>
    </row>
    <row r="36" ht="12.0" customHeight="1">
      <c r="A36" s="55">
        <f>IF('長期'!A460="","",'長期'!A460)</f>
        <v>44811</v>
      </c>
      <c r="B36" s="40">
        <f t="shared" si="1"/>
        <v>146.4674028</v>
      </c>
      <c r="C36" s="40">
        <f t="shared" si="2"/>
        <v>141.0937014</v>
      </c>
      <c r="D36" s="40">
        <f>'長期'!D460</f>
        <v>135</v>
      </c>
      <c r="E36" s="40">
        <f t="shared" si="3"/>
        <v>130.3462986</v>
      </c>
      <c r="F36" s="40">
        <f t="shared" si="4"/>
        <v>124.9725972</v>
      </c>
    </row>
    <row r="37" ht="12.0" customHeight="1">
      <c r="A37" s="55">
        <f>IF('長期'!A459="","",'長期'!A459)</f>
        <v>44812</v>
      </c>
      <c r="B37" s="40">
        <f t="shared" si="1"/>
        <v>145.7530985</v>
      </c>
      <c r="C37" s="40">
        <f t="shared" si="2"/>
        <v>140.5965492</v>
      </c>
      <c r="D37" s="40">
        <f>'長期'!D459</f>
        <v>136</v>
      </c>
      <c r="E37" s="40">
        <f t="shared" si="3"/>
        <v>130.2834508</v>
      </c>
      <c r="F37" s="40">
        <f t="shared" si="4"/>
        <v>125.1269015</v>
      </c>
    </row>
    <row r="38" ht="12.0" customHeight="1">
      <c r="A38" s="55">
        <f>IF('長期'!A458="","",'長期'!A458)</f>
        <v>44813</v>
      </c>
      <c r="B38" s="40">
        <f t="shared" si="1"/>
        <v>144.8570985</v>
      </c>
      <c r="C38" s="40">
        <f t="shared" si="2"/>
        <v>139.7685492</v>
      </c>
      <c r="D38" s="40">
        <f>'長期'!D458</f>
        <v>126</v>
      </c>
      <c r="E38" s="40">
        <f t="shared" si="3"/>
        <v>129.5914508</v>
      </c>
      <c r="F38" s="40">
        <f t="shared" si="4"/>
        <v>124.5029015</v>
      </c>
    </row>
    <row r="39" ht="12.0" customHeight="1">
      <c r="A39" s="55">
        <f>IF('長期'!A457="","",'長期'!A457)</f>
        <v>44816</v>
      </c>
      <c r="B39" s="40">
        <f t="shared" si="1"/>
        <v>143.6824265</v>
      </c>
      <c r="C39" s="40">
        <f t="shared" si="2"/>
        <v>138.9012132</v>
      </c>
      <c r="D39" s="40">
        <f>'長期'!D457</f>
        <v>130</v>
      </c>
      <c r="E39" s="40">
        <f t="shared" si="3"/>
        <v>129.3387868</v>
      </c>
      <c r="F39" s="40">
        <f t="shared" si="4"/>
        <v>124.5575735</v>
      </c>
    </row>
    <row r="40" ht="12.0" customHeight="1">
      <c r="A40" s="55">
        <f>IF('長期'!A456="","",'長期'!A456)</f>
        <v>44817</v>
      </c>
      <c r="B40" s="40">
        <f t="shared" si="1"/>
        <v>143.7049675</v>
      </c>
      <c r="C40" s="40">
        <f t="shared" si="2"/>
        <v>138.8924838</v>
      </c>
      <c r="D40" s="40">
        <f>'長期'!D456</f>
        <v>130</v>
      </c>
      <c r="E40" s="40">
        <f t="shared" si="3"/>
        <v>129.2675162</v>
      </c>
      <c r="F40" s="40">
        <f t="shared" si="4"/>
        <v>124.4550325</v>
      </c>
    </row>
    <row r="41" ht="12.0" customHeight="1">
      <c r="A41" s="55">
        <f>IF('長期'!A455="","",'長期'!A455)</f>
        <v>44818</v>
      </c>
      <c r="B41" s="40">
        <f t="shared" si="1"/>
        <v>143.8319208</v>
      </c>
      <c r="C41" s="40">
        <f t="shared" si="2"/>
        <v>138.9159604</v>
      </c>
      <c r="D41" s="40">
        <f>'長期'!D455</f>
        <v>127</v>
      </c>
      <c r="E41" s="40">
        <f t="shared" si="3"/>
        <v>129.0840396</v>
      </c>
      <c r="F41" s="40">
        <f t="shared" si="4"/>
        <v>124.1680792</v>
      </c>
    </row>
    <row r="42" ht="12.0" customHeight="1">
      <c r="A42" s="55">
        <f>IF('長期'!A454="","",'長期'!A454)</f>
        <v>44819</v>
      </c>
      <c r="B42" s="40">
        <f t="shared" si="1"/>
        <v>145.7154676</v>
      </c>
      <c r="C42" s="40">
        <f t="shared" si="2"/>
        <v>139.5977338</v>
      </c>
      <c r="D42" s="40">
        <f>'長期'!D454</f>
        <v>115</v>
      </c>
      <c r="E42" s="40">
        <f t="shared" si="3"/>
        <v>127.3622662</v>
      </c>
      <c r="F42" s="40">
        <f t="shared" si="4"/>
        <v>121.2445324</v>
      </c>
    </row>
    <row r="43" ht="12.0" customHeight="1">
      <c r="A43" s="55">
        <f>IF('長期'!A453="","",'長期'!A453)</f>
        <v>44820</v>
      </c>
      <c r="B43" s="40">
        <f t="shared" si="1"/>
        <v>146.793545</v>
      </c>
      <c r="C43" s="40">
        <f t="shared" si="2"/>
        <v>139.9167725</v>
      </c>
      <c r="D43" s="40">
        <f>'長期'!D453</f>
        <v>117</v>
      </c>
      <c r="E43" s="40">
        <f t="shared" si="3"/>
        <v>126.1632275</v>
      </c>
      <c r="F43" s="40">
        <f t="shared" si="4"/>
        <v>119.286455</v>
      </c>
    </row>
    <row r="44" ht="12.0" customHeight="1">
      <c r="A44" s="55">
        <f>IF('長期'!A452="","",'長期'!A452)</f>
        <v>44824</v>
      </c>
      <c r="B44" s="40">
        <f t="shared" si="1"/>
        <v>147.4211561</v>
      </c>
      <c r="C44" s="40">
        <f t="shared" si="2"/>
        <v>140.010578</v>
      </c>
      <c r="D44" s="40">
        <f>'長期'!D452</f>
        <v>119</v>
      </c>
      <c r="E44" s="40">
        <f t="shared" si="3"/>
        <v>125.189422</v>
      </c>
      <c r="F44" s="40">
        <f t="shared" si="4"/>
        <v>117.7788439</v>
      </c>
    </row>
    <row r="45" ht="12.0" customHeight="1">
      <c r="A45" s="55">
        <f>IF('長期'!A451="","",'長期'!A451)</f>
        <v>44825</v>
      </c>
      <c r="B45" s="40">
        <f t="shared" si="1"/>
        <v>148.5023199</v>
      </c>
      <c r="C45" s="40">
        <f t="shared" si="2"/>
        <v>140.21116</v>
      </c>
      <c r="D45" s="40">
        <f>'長期'!D451</f>
        <v>114</v>
      </c>
      <c r="E45" s="40">
        <f t="shared" si="3"/>
        <v>123.62884</v>
      </c>
      <c r="F45" s="40">
        <f t="shared" si="4"/>
        <v>115.3376801</v>
      </c>
    </row>
    <row r="46" ht="12.0" customHeight="1">
      <c r="A46" s="55">
        <f>IF('長期'!A450="","",'長期'!A450)</f>
        <v>44826</v>
      </c>
      <c r="B46" s="40">
        <f t="shared" si="1"/>
        <v>148.8517123</v>
      </c>
      <c r="C46" s="40">
        <f t="shared" si="2"/>
        <v>140.1058562</v>
      </c>
      <c r="D46" s="40">
        <f>'長期'!D450</f>
        <v>118</v>
      </c>
      <c r="E46" s="40">
        <f t="shared" si="3"/>
        <v>122.6141438</v>
      </c>
      <c r="F46" s="40">
        <f t="shared" si="4"/>
        <v>113.8682877</v>
      </c>
    </row>
    <row r="47" ht="12.0" customHeight="1">
      <c r="A47" s="55">
        <f>IF('長期'!A449="","",'長期'!A449)</f>
        <v>44830</v>
      </c>
      <c r="B47" s="40">
        <f t="shared" si="1"/>
        <v>149.4829611</v>
      </c>
      <c r="C47" s="40">
        <f t="shared" si="2"/>
        <v>140.1614806</v>
      </c>
      <c r="D47" s="40">
        <f>'長期'!D449</f>
        <v>115</v>
      </c>
      <c r="E47" s="40">
        <f t="shared" si="3"/>
        <v>121.5185194</v>
      </c>
      <c r="F47" s="40">
        <f t="shared" si="4"/>
        <v>112.1970389</v>
      </c>
    </row>
    <row r="48" ht="12.0" customHeight="1">
      <c r="A48" s="55">
        <f>IF('長期'!A448="","",'長期'!A448)</f>
        <v>44831</v>
      </c>
      <c r="B48" s="40">
        <f t="shared" si="1"/>
        <v>149.9316226</v>
      </c>
      <c r="C48" s="40">
        <f t="shared" si="2"/>
        <v>140.0858113</v>
      </c>
      <c r="D48" s="40">
        <f>'長期'!D448</f>
        <v>115</v>
      </c>
      <c r="E48" s="40">
        <f t="shared" si="3"/>
        <v>120.3941887</v>
      </c>
      <c r="F48" s="40">
        <f t="shared" si="4"/>
        <v>110.5483774</v>
      </c>
    </row>
    <row r="49" ht="12.0" customHeight="1">
      <c r="A49" s="55">
        <f>IF('長期'!A447="","",'長期'!A447)</f>
        <v>44832</v>
      </c>
      <c r="B49" s="40">
        <f t="shared" si="1"/>
        <v>151.0436361</v>
      </c>
      <c r="C49" s="40">
        <f t="shared" si="2"/>
        <v>140.041818</v>
      </c>
      <c r="D49" s="40">
        <f>'長期'!D447</f>
        <v>105</v>
      </c>
      <c r="E49" s="40">
        <f t="shared" si="3"/>
        <v>118.038182</v>
      </c>
      <c r="F49" s="40">
        <f t="shared" si="4"/>
        <v>107.0363639</v>
      </c>
    </row>
    <row r="50" ht="12.0" customHeight="1">
      <c r="A50" s="55">
        <f>IF('長期'!A446="","",'長期'!A446)</f>
        <v>44833</v>
      </c>
      <c r="B50" s="40">
        <f t="shared" si="1"/>
        <v>150.686266</v>
      </c>
      <c r="C50" s="40">
        <f t="shared" si="2"/>
        <v>139.343133</v>
      </c>
      <c r="D50" s="40">
        <f>'長期'!D446</f>
        <v>112</v>
      </c>
      <c r="E50" s="40">
        <f t="shared" si="3"/>
        <v>116.656867</v>
      </c>
      <c r="F50" s="40">
        <f t="shared" si="4"/>
        <v>105.313734</v>
      </c>
    </row>
    <row r="51" ht="12.0" customHeight="1">
      <c r="A51" s="55">
        <f>IF('長期'!A445="","",'長期'!A445)</f>
        <v>44834</v>
      </c>
      <c r="B51" s="40">
        <f t="shared" si="1"/>
        <v>150.5316918</v>
      </c>
      <c r="C51" s="40">
        <f t="shared" si="2"/>
        <v>138.6458459</v>
      </c>
      <c r="D51" s="40">
        <f>'長期'!D445</f>
        <v>107</v>
      </c>
      <c r="E51" s="40">
        <f t="shared" si="3"/>
        <v>114.8741541</v>
      </c>
      <c r="F51" s="40">
        <f t="shared" si="4"/>
        <v>102.9883082</v>
      </c>
    </row>
    <row r="52" ht="12.0" customHeight="1">
      <c r="A52" s="55">
        <f>IF('長期'!A444="","",'長期'!A444)</f>
        <v>44837</v>
      </c>
      <c r="B52" s="40">
        <f t="shared" si="1"/>
        <v>149.8948974</v>
      </c>
      <c r="C52" s="40">
        <f t="shared" si="2"/>
        <v>137.6474487</v>
      </c>
      <c r="D52" s="40">
        <f>'長期'!D444</f>
        <v>106</v>
      </c>
      <c r="E52" s="40">
        <f t="shared" si="3"/>
        <v>113.1525513</v>
      </c>
      <c r="F52" s="40">
        <f t="shared" si="4"/>
        <v>100.9051026</v>
      </c>
    </row>
    <row r="53" ht="12.0" customHeight="1">
      <c r="A53" s="55">
        <f>IF('長期'!A443="","",'長期'!A443)</f>
        <v>44838</v>
      </c>
      <c r="B53" s="40">
        <f t="shared" si="1"/>
        <v>148.5117341</v>
      </c>
      <c r="C53" s="40">
        <f t="shared" si="2"/>
        <v>136.4158671</v>
      </c>
      <c r="D53" s="40">
        <f>'長期'!D443</f>
        <v>113</v>
      </c>
      <c r="E53" s="40">
        <f t="shared" si="3"/>
        <v>112.2241329</v>
      </c>
      <c r="F53" s="40">
        <f t="shared" si="4"/>
        <v>100.1282659</v>
      </c>
    </row>
    <row r="54" ht="12.0" customHeight="1">
      <c r="A54" s="55">
        <f>IF('長期'!A442="","",'長期'!A442)</f>
        <v>44839</v>
      </c>
      <c r="B54" s="40">
        <f t="shared" si="1"/>
        <v>146.8358175</v>
      </c>
      <c r="C54" s="40">
        <f t="shared" si="2"/>
        <v>134.9779088</v>
      </c>
      <c r="D54" s="40">
        <f>'長期'!D442</f>
        <v>111</v>
      </c>
      <c r="E54" s="40">
        <f t="shared" si="3"/>
        <v>111.2620912</v>
      </c>
      <c r="F54" s="40">
        <f t="shared" si="4"/>
        <v>99.40418249</v>
      </c>
    </row>
    <row r="55" ht="12.0" customHeight="1">
      <c r="A55" s="55">
        <f>IF('長期'!A441="","",'長期'!A441)</f>
        <v>44840</v>
      </c>
      <c r="B55" s="40">
        <f t="shared" si="1"/>
        <v>145.1201513</v>
      </c>
      <c r="C55" s="40">
        <f t="shared" si="2"/>
        <v>133.6600756</v>
      </c>
      <c r="D55" s="40">
        <f>'長期'!D441</f>
        <v>116</v>
      </c>
      <c r="E55" s="40">
        <f t="shared" si="3"/>
        <v>110.7399244</v>
      </c>
      <c r="F55" s="40">
        <f t="shared" si="4"/>
        <v>99.27984875</v>
      </c>
    </row>
    <row r="56" ht="12.0" customHeight="1">
      <c r="A56" s="55">
        <f>IF('長期'!A440="","",'長期'!A440)</f>
        <v>44841</v>
      </c>
      <c r="B56" s="40">
        <f t="shared" si="1"/>
        <v>142.6517038</v>
      </c>
      <c r="C56" s="40">
        <f t="shared" si="2"/>
        <v>131.9058519</v>
      </c>
      <c r="D56" s="40">
        <f>'長期'!D440</f>
        <v>116</v>
      </c>
      <c r="E56" s="40">
        <f t="shared" si="3"/>
        <v>110.4141481</v>
      </c>
      <c r="F56" s="40">
        <f t="shared" si="4"/>
        <v>99.66829617</v>
      </c>
    </row>
    <row r="57" ht="12.0" customHeight="1">
      <c r="A57" s="55">
        <f>IF('長期'!A439="","",'長期'!A439)</f>
        <v>44845</v>
      </c>
      <c r="B57" s="40">
        <f t="shared" si="1"/>
        <v>140.4825295</v>
      </c>
      <c r="C57" s="40">
        <f t="shared" si="2"/>
        <v>130.3612647</v>
      </c>
      <c r="D57" s="40">
        <f>'長期'!D439</f>
        <v>116</v>
      </c>
      <c r="E57" s="40">
        <f t="shared" si="3"/>
        <v>110.1187353</v>
      </c>
      <c r="F57" s="40">
        <f t="shared" si="4"/>
        <v>99.99747051</v>
      </c>
    </row>
    <row r="58" ht="12.0" customHeight="1">
      <c r="A58" s="55">
        <f>IF('長期'!A438="","",'長期'!A438)</f>
        <v>44846</v>
      </c>
      <c r="B58" s="40">
        <f t="shared" si="1"/>
        <v>138.8164878</v>
      </c>
      <c r="C58" s="40">
        <f t="shared" si="2"/>
        <v>129.1082439</v>
      </c>
      <c r="D58" s="40">
        <f>'長期'!D438</f>
        <v>114</v>
      </c>
      <c r="E58" s="40">
        <f t="shared" si="3"/>
        <v>109.6917561</v>
      </c>
      <c r="F58" s="40">
        <f t="shared" si="4"/>
        <v>99.98351216</v>
      </c>
    </row>
    <row r="59" ht="12.0" customHeight="1">
      <c r="A59" s="55">
        <f>IF('長期'!A437="","",'長期'!A437)</f>
        <v>44847</v>
      </c>
      <c r="B59" s="40">
        <f t="shared" si="1"/>
        <v>136.78012</v>
      </c>
      <c r="C59" s="40">
        <f t="shared" si="2"/>
        <v>127.61006</v>
      </c>
      <c r="D59" s="40">
        <f>'長期'!D437</f>
        <v>112</v>
      </c>
      <c r="E59" s="40">
        <f t="shared" si="3"/>
        <v>109.26994</v>
      </c>
      <c r="F59" s="40">
        <f t="shared" si="4"/>
        <v>100.09988</v>
      </c>
    </row>
    <row r="60" ht="12.0" customHeight="1">
      <c r="A60" s="55">
        <f>IF('長期'!A436="","",'長期'!A436)</f>
        <v>44848</v>
      </c>
      <c r="B60" s="40">
        <f t="shared" si="1"/>
        <v>134.4522995</v>
      </c>
      <c r="C60" s="40">
        <f t="shared" si="2"/>
        <v>126.0261498</v>
      </c>
      <c r="D60" s="40">
        <f>'長期'!D436</f>
        <v>115</v>
      </c>
      <c r="E60" s="40">
        <f t="shared" si="3"/>
        <v>109.1738502</v>
      </c>
      <c r="F60" s="40">
        <f t="shared" si="4"/>
        <v>100.7477005</v>
      </c>
    </row>
    <row r="61" ht="12.0" customHeight="1">
      <c r="A61" s="55">
        <f>IF('長期'!A435="","",'長期'!A435)</f>
        <v>44851</v>
      </c>
      <c r="B61" s="40">
        <f t="shared" si="1"/>
        <v>132.139724</v>
      </c>
      <c r="C61" s="40">
        <f t="shared" si="2"/>
        <v>124.529862</v>
      </c>
      <c r="D61" s="40">
        <f>'長期'!D435</f>
        <v>118</v>
      </c>
      <c r="E61" s="40">
        <f t="shared" si="3"/>
        <v>109.310138</v>
      </c>
      <c r="F61" s="40">
        <f t="shared" si="4"/>
        <v>101.700276</v>
      </c>
    </row>
    <row r="62" ht="12.0" customHeight="1">
      <c r="A62" s="55">
        <f>IF('長期'!A434="","",'長期'!A434)</f>
        <v>44852</v>
      </c>
      <c r="B62" s="40">
        <f t="shared" si="1"/>
        <v>129.3505776</v>
      </c>
      <c r="C62" s="40">
        <f t="shared" si="2"/>
        <v>122.8152888</v>
      </c>
      <c r="D62" s="40">
        <f>'長期'!D434</f>
        <v>120</v>
      </c>
      <c r="E62" s="40">
        <f t="shared" si="3"/>
        <v>109.7447112</v>
      </c>
      <c r="F62" s="40">
        <f t="shared" si="4"/>
        <v>103.2094224</v>
      </c>
    </row>
    <row r="63" ht="12.0" customHeight="1">
      <c r="A63" s="55">
        <f>IF('長期'!A433="","",'長期'!A433)</f>
        <v>44853</v>
      </c>
      <c r="B63" s="40">
        <f t="shared" si="1"/>
        <v>128.489996</v>
      </c>
      <c r="C63" s="40">
        <f t="shared" si="2"/>
        <v>122.244998</v>
      </c>
      <c r="D63" s="40">
        <f>'長期'!D433</f>
        <v>119</v>
      </c>
      <c r="E63" s="40">
        <f t="shared" si="3"/>
        <v>109.755002</v>
      </c>
      <c r="F63" s="40">
        <f t="shared" si="4"/>
        <v>103.510004</v>
      </c>
    </row>
    <row r="64" ht="12.0" customHeight="1">
      <c r="A64" s="55">
        <f>IF('長期'!A432="","",'長期'!A432)</f>
        <v>44854</v>
      </c>
      <c r="B64" s="40">
        <f t="shared" si="1"/>
        <v>126.6123397</v>
      </c>
      <c r="C64" s="40">
        <f t="shared" si="2"/>
        <v>121.0661698</v>
      </c>
      <c r="D64" s="40">
        <f>'長期'!D432</f>
        <v>118</v>
      </c>
      <c r="E64" s="40">
        <f t="shared" si="3"/>
        <v>109.9738302</v>
      </c>
      <c r="F64" s="40">
        <f t="shared" si="4"/>
        <v>104.4276603</v>
      </c>
    </row>
    <row r="65" ht="12.0" customHeight="1">
      <c r="A65" s="55">
        <f>IF('長期'!A431="","",'長期'!A431)</f>
        <v>44855</v>
      </c>
      <c r="B65" s="40">
        <f t="shared" si="1"/>
        <v>124.3452305</v>
      </c>
      <c r="C65" s="40">
        <f t="shared" si="2"/>
        <v>119.6726153</v>
      </c>
      <c r="D65" s="40">
        <f>'長期'!D431</f>
        <v>117</v>
      </c>
      <c r="E65" s="40">
        <f t="shared" si="3"/>
        <v>110.3273847</v>
      </c>
      <c r="F65" s="40">
        <f t="shared" si="4"/>
        <v>105.6547695</v>
      </c>
    </row>
    <row r="66" ht="12.0" customHeight="1">
      <c r="A66" s="55">
        <f>IF('長期'!A430="","",'長期'!A430)</f>
        <v>44858</v>
      </c>
      <c r="B66" s="40">
        <f t="shared" si="1"/>
        <v>122.6583124</v>
      </c>
      <c r="C66" s="40">
        <f t="shared" si="2"/>
        <v>118.6491562</v>
      </c>
      <c r="D66" s="40">
        <f>'長期'!D430</f>
        <v>118</v>
      </c>
      <c r="E66" s="40">
        <f t="shared" si="3"/>
        <v>110.6308438</v>
      </c>
      <c r="F66" s="40">
        <f t="shared" si="4"/>
        <v>106.6216876</v>
      </c>
    </row>
    <row r="67" ht="12.0" customHeight="1">
      <c r="A67" s="55">
        <f>IF('長期'!A429="","",'長期'!A429)</f>
        <v>44859</v>
      </c>
      <c r="B67" s="40">
        <f t="shared" si="1"/>
        <v>123.1402008</v>
      </c>
      <c r="C67" s="40">
        <f t="shared" si="2"/>
        <v>118.9901004</v>
      </c>
      <c r="D67" s="40">
        <f>'長期'!D429</f>
        <v>120</v>
      </c>
      <c r="E67" s="40">
        <f t="shared" si="3"/>
        <v>110.6898996</v>
      </c>
      <c r="F67" s="40">
        <f t="shared" si="4"/>
        <v>106.5397992</v>
      </c>
    </row>
    <row r="68" ht="12.0" customHeight="1">
      <c r="A68" s="55">
        <f>IF('長期'!A428="","",'長期'!A428)</f>
        <v>44860</v>
      </c>
      <c r="B68" s="40">
        <f t="shared" si="1"/>
        <v>124.1628609</v>
      </c>
      <c r="C68" s="40">
        <f t="shared" si="2"/>
        <v>119.6414305</v>
      </c>
      <c r="D68" s="40">
        <f>'長期'!D428</f>
        <v>124</v>
      </c>
      <c r="E68" s="40">
        <f t="shared" si="3"/>
        <v>110.5985695</v>
      </c>
      <c r="F68" s="40">
        <f t="shared" si="4"/>
        <v>106.0771391</v>
      </c>
    </row>
    <row r="69" ht="12.0" customHeight="1">
      <c r="A69" s="55">
        <f>IF('長期'!A427="","",'長期'!A427)</f>
        <v>44861</v>
      </c>
      <c r="B69" s="40">
        <f t="shared" si="1"/>
        <v>124.9241658</v>
      </c>
      <c r="C69" s="40">
        <f t="shared" si="2"/>
        <v>120.1220829</v>
      </c>
      <c r="D69" s="40">
        <f>'長期'!D427</f>
        <v>124</v>
      </c>
      <c r="E69" s="40">
        <f t="shared" si="3"/>
        <v>110.5179171</v>
      </c>
      <c r="F69" s="40">
        <f t="shared" si="4"/>
        <v>105.7158342</v>
      </c>
    </row>
    <row r="70" ht="12.0" customHeight="1">
      <c r="A70" s="55">
        <f>IF('長期'!A426="","",'長期'!A426)</f>
        <v>44862</v>
      </c>
      <c r="B70" s="40">
        <f t="shared" si="1"/>
        <v>125.9101914</v>
      </c>
      <c r="C70" s="40">
        <f t="shared" si="2"/>
        <v>120.8150957</v>
      </c>
      <c r="D70" s="40">
        <f>'長期'!D426</f>
        <v>124</v>
      </c>
      <c r="E70" s="40">
        <f t="shared" si="3"/>
        <v>110.6249043</v>
      </c>
      <c r="F70" s="40">
        <f t="shared" si="4"/>
        <v>105.5298086</v>
      </c>
    </row>
    <row r="71" ht="12.0" customHeight="1">
      <c r="A71" s="55">
        <f>IF('長期'!A425="","",'長期'!A425)</f>
        <v>44865</v>
      </c>
      <c r="B71" s="40">
        <f t="shared" si="1"/>
        <v>126.4859832</v>
      </c>
      <c r="C71" s="40">
        <f t="shared" si="2"/>
        <v>121.2029916</v>
      </c>
      <c r="D71" s="40">
        <f>'長期'!D425</f>
        <v>123</v>
      </c>
      <c r="E71" s="40">
        <f t="shared" si="3"/>
        <v>110.6370084</v>
      </c>
      <c r="F71" s="40">
        <f t="shared" si="4"/>
        <v>105.3540168</v>
      </c>
    </row>
    <row r="72" ht="12.0" customHeight="1">
      <c r="A72" s="55">
        <f>IF('長期'!A424="","",'長期'!A424)</f>
        <v>44866</v>
      </c>
      <c r="B72" s="40">
        <f t="shared" si="1"/>
        <v>127.0320512</v>
      </c>
      <c r="C72" s="40">
        <f t="shared" si="2"/>
        <v>121.6160256</v>
      </c>
      <c r="D72" s="40">
        <f>'長期'!D424</f>
        <v>122</v>
      </c>
      <c r="E72" s="40">
        <f t="shared" si="3"/>
        <v>110.7839744</v>
      </c>
      <c r="F72" s="40">
        <f t="shared" si="4"/>
        <v>105.3679488</v>
      </c>
    </row>
    <row r="73" ht="12.0" customHeight="1">
      <c r="A73" s="55">
        <f>IF('長期'!A423="","",'長期'!A423)</f>
        <v>44867</v>
      </c>
      <c r="B73" s="40">
        <f t="shared" si="1"/>
        <v>127.6722793</v>
      </c>
      <c r="C73" s="40">
        <f t="shared" si="2"/>
        <v>122.0961396</v>
      </c>
      <c r="D73" s="40">
        <f>'長期'!D423</f>
        <v>123</v>
      </c>
      <c r="E73" s="40">
        <f t="shared" si="3"/>
        <v>110.9438604</v>
      </c>
      <c r="F73" s="40">
        <f t="shared" si="4"/>
        <v>105.3677207</v>
      </c>
    </row>
    <row r="74" ht="12.0" customHeight="1">
      <c r="A74" s="55">
        <f>IF('長期'!A422="","",'長期'!A422)</f>
        <v>44869</v>
      </c>
      <c r="B74" s="40">
        <f t="shared" si="1"/>
        <v>127.2577183</v>
      </c>
      <c r="C74" s="40">
        <f t="shared" si="2"/>
        <v>122.1888592</v>
      </c>
      <c r="D74" s="40">
        <f>'長期'!D422</f>
        <v>120</v>
      </c>
      <c r="E74" s="40">
        <f t="shared" si="3"/>
        <v>112.0511408</v>
      </c>
      <c r="F74" s="40">
        <f t="shared" si="4"/>
        <v>106.9822817</v>
      </c>
    </row>
    <row r="75" ht="12.0" customHeight="1">
      <c r="A75" s="55">
        <f>IF('長期'!A421="","",'長期'!A421)</f>
        <v>44872</v>
      </c>
      <c r="B75" s="40">
        <f t="shared" si="1"/>
        <v>127.726612</v>
      </c>
      <c r="C75" s="40">
        <f t="shared" si="2"/>
        <v>122.643306</v>
      </c>
      <c r="D75" s="40">
        <f>'長期'!D421</f>
        <v>123</v>
      </c>
      <c r="E75" s="40">
        <f t="shared" si="3"/>
        <v>112.476694</v>
      </c>
      <c r="F75" s="40">
        <f t="shared" si="4"/>
        <v>107.393388</v>
      </c>
    </row>
    <row r="76" ht="12.0" customHeight="1">
      <c r="A76" s="55">
        <f>IF('長期'!A420="","",'長期'!A420)</f>
        <v>44873</v>
      </c>
      <c r="B76" s="40">
        <f t="shared" si="1"/>
        <v>128.0277289</v>
      </c>
      <c r="C76" s="40">
        <f t="shared" si="2"/>
        <v>123.1738644</v>
      </c>
      <c r="D76" s="40">
        <f>'長期'!D420</f>
        <v>126</v>
      </c>
      <c r="E76" s="40">
        <f t="shared" si="3"/>
        <v>113.4661356</v>
      </c>
      <c r="F76" s="40">
        <f t="shared" si="4"/>
        <v>108.6122711</v>
      </c>
    </row>
    <row r="77" ht="12.0" customHeight="1">
      <c r="A77" s="55">
        <f>IF('長期'!A419="","",'長期'!A419)</f>
        <v>44874</v>
      </c>
      <c r="B77" s="40">
        <f t="shared" si="1"/>
        <v>128.4283985</v>
      </c>
      <c r="C77" s="40">
        <f t="shared" si="2"/>
        <v>123.8341992</v>
      </c>
      <c r="D77" s="40">
        <f>'長期'!D419</f>
        <v>129</v>
      </c>
      <c r="E77" s="40">
        <f t="shared" si="3"/>
        <v>114.6458008</v>
      </c>
      <c r="F77" s="40">
        <f t="shared" si="4"/>
        <v>110.0516015</v>
      </c>
    </row>
    <row r="78" ht="12.0" customHeight="1">
      <c r="A78" s="55">
        <f>IF('長期'!A418="","",'長期'!A418)</f>
        <v>44875</v>
      </c>
      <c r="B78" s="40">
        <f t="shared" si="1"/>
        <v>129.1094934</v>
      </c>
      <c r="C78" s="40">
        <f t="shared" si="2"/>
        <v>124.4547467</v>
      </c>
      <c r="D78" s="40">
        <f>'長期'!D418</f>
        <v>127</v>
      </c>
      <c r="E78" s="40">
        <f t="shared" si="3"/>
        <v>115.1452533</v>
      </c>
      <c r="F78" s="40">
        <f t="shared" si="4"/>
        <v>110.4905066</v>
      </c>
    </row>
    <row r="79" ht="12.0" customHeight="1">
      <c r="A79" s="55">
        <f>IF('長期'!A417="","",'長期'!A417)</f>
        <v>44876</v>
      </c>
      <c r="B79" s="40">
        <f t="shared" si="1"/>
        <v>129.4229468</v>
      </c>
      <c r="C79" s="40">
        <f t="shared" si="2"/>
        <v>124.9314734</v>
      </c>
      <c r="D79" s="40">
        <f>'長期'!D417</f>
        <v>127</v>
      </c>
      <c r="E79" s="40">
        <f t="shared" si="3"/>
        <v>115.9485266</v>
      </c>
      <c r="F79" s="40">
        <f t="shared" si="4"/>
        <v>111.4570532</v>
      </c>
    </row>
    <row r="80" ht="12.0" customHeight="1">
      <c r="A80" s="55">
        <f>IF('長期'!A416="","",'長期'!A416)</f>
        <v>44879</v>
      </c>
      <c r="B80" s="40">
        <f t="shared" si="1"/>
        <v>129.8894935</v>
      </c>
      <c r="C80" s="40">
        <f t="shared" si="2"/>
        <v>125.3647468</v>
      </c>
      <c r="D80" s="40">
        <f>'長期'!D416</f>
        <v>126</v>
      </c>
      <c r="E80" s="40">
        <f t="shared" si="3"/>
        <v>116.3152532</v>
      </c>
      <c r="F80" s="40">
        <f t="shared" si="4"/>
        <v>111.7905065</v>
      </c>
    </row>
    <row r="81" ht="12.0" customHeight="1">
      <c r="A81" s="55">
        <f>IF('長期'!A415="","",'長期'!A415)</f>
        <v>44880</v>
      </c>
      <c r="B81" s="40">
        <f t="shared" si="1"/>
        <v>130.1628864</v>
      </c>
      <c r="C81" s="40">
        <f t="shared" si="2"/>
        <v>125.6814432</v>
      </c>
      <c r="D81" s="40">
        <f>'長期'!D415</f>
        <v>125</v>
      </c>
      <c r="E81" s="40">
        <f t="shared" si="3"/>
        <v>116.7185568</v>
      </c>
      <c r="F81" s="40">
        <f t="shared" si="4"/>
        <v>112.2371136</v>
      </c>
    </row>
    <row r="82" ht="12.0" customHeight="1">
      <c r="A82" s="55">
        <f>IF('長期'!A414="","",'長期'!A414)</f>
        <v>44881</v>
      </c>
      <c r="B82" s="40">
        <f t="shared" si="1"/>
        <v>130.2782342</v>
      </c>
      <c r="C82" s="40">
        <f t="shared" si="2"/>
        <v>125.8991171</v>
      </c>
      <c r="D82" s="40">
        <f>'長期'!D414</f>
        <v>124</v>
      </c>
      <c r="E82" s="40">
        <f t="shared" si="3"/>
        <v>117.1408829</v>
      </c>
      <c r="F82" s="40">
        <f t="shared" si="4"/>
        <v>112.7617658</v>
      </c>
    </row>
    <row r="83" ht="12.0" customHeight="1">
      <c r="A83" s="55">
        <f>IF('長期'!A413="","",'長期'!A413)</f>
        <v>44882</v>
      </c>
      <c r="B83" s="40">
        <f t="shared" si="1"/>
        <v>130.0718659</v>
      </c>
      <c r="C83" s="40">
        <f t="shared" si="2"/>
        <v>125.9759329</v>
      </c>
      <c r="D83" s="40">
        <f>'長期'!D413</f>
        <v>123</v>
      </c>
      <c r="E83" s="40">
        <f t="shared" si="3"/>
        <v>117.7840671</v>
      </c>
      <c r="F83" s="40">
        <f t="shared" si="4"/>
        <v>113.6881341</v>
      </c>
    </row>
    <row r="84" ht="12.0" customHeight="1">
      <c r="A84" s="55">
        <f>IF('長期'!A412="","",'長期'!A412)</f>
        <v>44883</v>
      </c>
      <c r="B84" s="40">
        <f t="shared" si="1"/>
        <v>129.3411736</v>
      </c>
      <c r="C84" s="40">
        <f t="shared" si="2"/>
        <v>125.7905868</v>
      </c>
      <c r="D84" s="40">
        <f>'長期'!D412</f>
        <v>121</v>
      </c>
      <c r="E84" s="40">
        <f t="shared" si="3"/>
        <v>118.6894132</v>
      </c>
      <c r="F84" s="40">
        <f t="shared" si="4"/>
        <v>115.1388264</v>
      </c>
    </row>
    <row r="85" ht="12.0" customHeight="1">
      <c r="A85" s="55">
        <f>IF('長期'!A411="","",'長期'!A411)</f>
        <v>44886</v>
      </c>
      <c r="B85" s="40">
        <f t="shared" si="1"/>
        <v>128.9522106</v>
      </c>
      <c r="C85" s="40">
        <f t="shared" si="2"/>
        <v>125.7361053</v>
      </c>
      <c r="D85" s="40">
        <f>'長期'!D411</f>
        <v>122</v>
      </c>
      <c r="E85" s="40">
        <f t="shared" si="3"/>
        <v>119.3038947</v>
      </c>
      <c r="F85" s="40">
        <f t="shared" si="4"/>
        <v>116.0877894</v>
      </c>
    </row>
    <row r="86" ht="12.0" customHeight="1">
      <c r="A86" s="55">
        <f>IF('長期'!A410="","",'長期'!A410)</f>
        <v>44887</v>
      </c>
      <c r="B86" s="40">
        <f t="shared" si="1"/>
        <v>128.8714226</v>
      </c>
      <c r="C86" s="40">
        <f t="shared" si="2"/>
        <v>125.7957113</v>
      </c>
      <c r="D86" s="40">
        <f>'長期'!D410</f>
        <v>123</v>
      </c>
      <c r="E86" s="40">
        <f t="shared" si="3"/>
        <v>119.6442887</v>
      </c>
      <c r="F86" s="40">
        <f t="shared" si="4"/>
        <v>116.5685774</v>
      </c>
    </row>
    <row r="87" ht="12.0" customHeight="1">
      <c r="A87" s="55">
        <f>IF('長期'!A409="","",'長期'!A409)</f>
        <v>44889</v>
      </c>
      <c r="B87" s="40">
        <f t="shared" si="1"/>
        <v>128.8553007</v>
      </c>
      <c r="C87" s="40">
        <f t="shared" si="2"/>
        <v>125.8276504</v>
      </c>
      <c r="D87" s="40">
        <f>'長期'!D409</f>
        <v>122</v>
      </c>
      <c r="E87" s="40">
        <f t="shared" si="3"/>
        <v>119.7723496</v>
      </c>
      <c r="F87" s="40">
        <f t="shared" si="4"/>
        <v>116.7446993</v>
      </c>
    </row>
    <row r="88" ht="12.0" customHeight="1">
      <c r="A88" s="55">
        <f>IF('長期'!A408="","",'長期'!A408)</f>
        <v>44890</v>
      </c>
      <c r="B88" s="40">
        <f t="shared" si="1"/>
        <v>128.7768918</v>
      </c>
      <c r="C88" s="40">
        <f t="shared" si="2"/>
        <v>125.8284459</v>
      </c>
      <c r="D88" s="40">
        <f>'長期'!D408</f>
        <v>121</v>
      </c>
      <c r="E88" s="40">
        <f t="shared" si="3"/>
        <v>119.9315541</v>
      </c>
      <c r="F88" s="40">
        <f t="shared" si="4"/>
        <v>116.9831082</v>
      </c>
    </row>
    <row r="89" ht="12.0" customHeight="1">
      <c r="A89" s="55">
        <f>IF('長期'!A407="","",'長期'!A407)</f>
        <v>44893</v>
      </c>
      <c r="B89" s="40">
        <f t="shared" si="1"/>
        <v>128.6911928</v>
      </c>
      <c r="C89" s="40">
        <f t="shared" si="2"/>
        <v>125.8055964</v>
      </c>
      <c r="D89" s="40">
        <f>'長期'!D407</f>
        <v>119</v>
      </c>
      <c r="E89" s="40">
        <f t="shared" si="3"/>
        <v>120.0344036</v>
      </c>
      <c r="F89" s="40">
        <f t="shared" si="4"/>
        <v>117.1488072</v>
      </c>
    </row>
    <row r="90" ht="12.0" customHeight="1">
      <c r="A90" s="55">
        <f>IF('長期'!A406="","",'長期'!A406)</f>
        <v>44894</v>
      </c>
      <c r="B90" s="40">
        <f t="shared" si="1"/>
        <v>128.4090471</v>
      </c>
      <c r="C90" s="40">
        <f t="shared" si="2"/>
        <v>125.7245235</v>
      </c>
      <c r="D90" s="40">
        <f>'長期'!D406</f>
        <v>120</v>
      </c>
      <c r="E90" s="40">
        <f t="shared" si="3"/>
        <v>120.3554765</v>
      </c>
      <c r="F90" s="40">
        <f t="shared" si="4"/>
        <v>117.6709529</v>
      </c>
    </row>
    <row r="91" ht="12.0" customHeight="1">
      <c r="A91" s="55">
        <f>IF('長期'!A405="","",'長期'!A405)</f>
        <v>44895</v>
      </c>
      <c r="B91" s="40">
        <f t="shared" si="1"/>
        <v>128.5377492</v>
      </c>
      <c r="C91" s="40">
        <f t="shared" si="2"/>
        <v>125.7688746</v>
      </c>
      <c r="D91" s="40">
        <f>'長期'!D405</f>
        <v>117</v>
      </c>
      <c r="E91" s="40">
        <f t="shared" si="3"/>
        <v>120.2311254</v>
      </c>
      <c r="F91" s="40">
        <f t="shared" si="4"/>
        <v>117.4622508</v>
      </c>
    </row>
    <row r="92" ht="12.0" customHeight="1">
      <c r="A92" s="55">
        <f>IF('長期'!A404="","",'長期'!A404)</f>
        <v>44896</v>
      </c>
      <c r="B92" s="40">
        <f t="shared" si="1"/>
        <v>129.2735756</v>
      </c>
      <c r="C92" s="40">
        <f t="shared" si="2"/>
        <v>126.0167878</v>
      </c>
      <c r="D92" s="40">
        <f>'長期'!D404</f>
        <v>114</v>
      </c>
      <c r="E92" s="40">
        <f t="shared" si="3"/>
        <v>119.5032122</v>
      </c>
      <c r="F92" s="40">
        <f t="shared" si="4"/>
        <v>116.2464244</v>
      </c>
    </row>
    <row r="93" ht="12.0" customHeight="1">
      <c r="A93" s="55">
        <f>IF('長期'!A403="","",'長期'!A403)</f>
        <v>44897</v>
      </c>
      <c r="B93" s="40">
        <f t="shared" si="1"/>
        <v>129.5879529</v>
      </c>
      <c r="C93" s="40">
        <f t="shared" si="2"/>
        <v>125.9939764</v>
      </c>
      <c r="D93" s="40">
        <f>'長期'!D403</f>
        <v>115</v>
      </c>
      <c r="E93" s="40">
        <f t="shared" si="3"/>
        <v>118.8060236</v>
      </c>
      <c r="F93" s="40">
        <f t="shared" si="4"/>
        <v>115.2120471</v>
      </c>
    </row>
    <row r="94" ht="12.0" customHeight="1">
      <c r="A94" s="55">
        <f>IF('長期'!A402="","",'長期'!A402)</f>
        <v>44900</v>
      </c>
      <c r="B94" s="40">
        <f t="shared" si="1"/>
        <v>129.77477</v>
      </c>
      <c r="C94" s="40">
        <f t="shared" si="2"/>
        <v>125.907385</v>
      </c>
      <c r="D94" s="40">
        <f>'長期'!D402</f>
        <v>115</v>
      </c>
      <c r="E94" s="40">
        <f t="shared" si="3"/>
        <v>118.172615</v>
      </c>
      <c r="F94" s="40">
        <f t="shared" si="4"/>
        <v>114.30523</v>
      </c>
    </row>
    <row r="95" ht="12.0" customHeight="1">
      <c r="A95" s="55">
        <f>IF('長期'!A401="","",'長期'!A401)</f>
        <v>44901</v>
      </c>
      <c r="B95" s="40">
        <f t="shared" si="1"/>
        <v>130.2217935</v>
      </c>
      <c r="C95" s="40">
        <f t="shared" si="2"/>
        <v>125.8908968</v>
      </c>
      <c r="D95" s="40">
        <f>'長期'!D401</f>
        <v>112</v>
      </c>
      <c r="E95" s="40">
        <f t="shared" si="3"/>
        <v>117.2291032</v>
      </c>
      <c r="F95" s="40">
        <f t="shared" si="4"/>
        <v>112.8982065</v>
      </c>
    </row>
    <row r="96" ht="12.0" customHeight="1">
      <c r="A96" s="55">
        <f>IF('長期'!A400="","",'長期'!A400)</f>
        <v>44902</v>
      </c>
      <c r="B96" s="40">
        <f t="shared" si="1"/>
        <v>130.6876359</v>
      </c>
      <c r="C96" s="40">
        <f t="shared" si="2"/>
        <v>125.8838179</v>
      </c>
      <c r="D96" s="40">
        <f>'長期'!D400</f>
        <v>111</v>
      </c>
      <c r="E96" s="40">
        <f t="shared" si="3"/>
        <v>116.2761821</v>
      </c>
      <c r="F96" s="40">
        <f t="shared" si="4"/>
        <v>111.4723641</v>
      </c>
    </row>
    <row r="97" ht="12.0" customHeight="1">
      <c r="A97" s="55">
        <f>IF('長期'!A399="","",'長期'!A399)</f>
        <v>44903</v>
      </c>
      <c r="B97" s="40">
        <f t="shared" si="1"/>
        <v>131.4458104</v>
      </c>
      <c r="C97" s="40">
        <f t="shared" si="2"/>
        <v>125.9829052</v>
      </c>
      <c r="D97" s="40">
        <f>'長期'!D399</f>
        <v>108</v>
      </c>
      <c r="E97" s="40">
        <f t="shared" si="3"/>
        <v>115.0570948</v>
      </c>
      <c r="F97" s="40">
        <f t="shared" si="4"/>
        <v>109.5941896</v>
      </c>
    </row>
    <row r="98" ht="12.0" customHeight="1">
      <c r="A98" s="55">
        <f>IF('長期'!A398="","",'長期'!A398)</f>
        <v>44904</v>
      </c>
      <c r="B98" s="40">
        <f t="shared" si="1"/>
        <v>131.7566097</v>
      </c>
      <c r="C98" s="40">
        <f t="shared" si="2"/>
        <v>125.8583048</v>
      </c>
      <c r="D98" s="40">
        <f>'長期'!D398</f>
        <v>109</v>
      </c>
      <c r="E98" s="40">
        <f t="shared" si="3"/>
        <v>114.0616952</v>
      </c>
      <c r="F98" s="40">
        <f t="shared" si="4"/>
        <v>108.1633903</v>
      </c>
    </row>
    <row r="99" ht="12.0" customHeight="1">
      <c r="A99" s="55">
        <f>IF('長期'!A397="","",'長期'!A397)</f>
        <v>44907</v>
      </c>
      <c r="B99" s="40">
        <f t="shared" si="1"/>
        <v>132.1046467</v>
      </c>
      <c r="C99" s="40">
        <f t="shared" si="2"/>
        <v>125.8123234</v>
      </c>
      <c r="D99" s="40">
        <f>'長期'!D397</f>
        <v>109</v>
      </c>
      <c r="E99" s="40">
        <f t="shared" si="3"/>
        <v>113.2276766</v>
      </c>
      <c r="F99" s="40">
        <f t="shared" si="4"/>
        <v>106.9353533</v>
      </c>
    </row>
    <row r="100" ht="12.0" customHeight="1">
      <c r="A100" s="55">
        <f>IF('長期'!A396="","",'長期'!A396)</f>
        <v>44908</v>
      </c>
      <c r="B100" s="40">
        <f t="shared" si="1"/>
        <v>132.1316868</v>
      </c>
      <c r="C100" s="40">
        <f t="shared" si="2"/>
        <v>125.5458434</v>
      </c>
      <c r="D100" s="40">
        <f>'長期'!D396</f>
        <v>109</v>
      </c>
      <c r="E100" s="40">
        <f t="shared" si="3"/>
        <v>112.3741566</v>
      </c>
      <c r="F100" s="40">
        <f t="shared" si="4"/>
        <v>105.7883132</v>
      </c>
    </row>
    <row r="101" ht="12.0" customHeight="1">
      <c r="A101" s="55">
        <f>IF('長期'!A395="","",'長期'!A395)</f>
        <v>44909</v>
      </c>
      <c r="B101" s="40">
        <f t="shared" si="1"/>
        <v>131.56202</v>
      </c>
      <c r="C101" s="40">
        <f t="shared" si="2"/>
        <v>124.96101</v>
      </c>
      <c r="D101" s="40">
        <f>'長期'!D395</f>
        <v>111</v>
      </c>
      <c r="E101" s="40">
        <f t="shared" si="3"/>
        <v>111.75899</v>
      </c>
      <c r="F101" s="40">
        <f t="shared" si="4"/>
        <v>105.15798</v>
      </c>
    </row>
    <row r="102" ht="12.0" customHeight="1">
      <c r="A102" s="55">
        <f>IF('長期'!A394="","",'長期'!A394)</f>
        <v>44910</v>
      </c>
      <c r="B102" s="40">
        <f t="shared" si="1"/>
        <v>130.2989994</v>
      </c>
      <c r="C102" s="40">
        <f t="shared" si="2"/>
        <v>124.0694997</v>
      </c>
      <c r="D102" s="40">
        <f>'長期'!D394</f>
        <v>116</v>
      </c>
      <c r="E102" s="40">
        <f t="shared" si="3"/>
        <v>111.6105003</v>
      </c>
      <c r="F102" s="40">
        <f t="shared" si="4"/>
        <v>105.3810006</v>
      </c>
    </row>
    <row r="103" ht="12.0" customHeight="1">
      <c r="A103" s="55">
        <f>IF('長期'!A393="","",'長期'!A393)</f>
        <v>44911</v>
      </c>
      <c r="B103" s="40">
        <f t="shared" si="1"/>
        <v>130.2989994</v>
      </c>
      <c r="C103" s="40">
        <f t="shared" si="2"/>
        <v>124.0694997</v>
      </c>
      <c r="D103" s="40">
        <f>'長期'!D393</f>
        <v>127</v>
      </c>
      <c r="E103" s="40">
        <f t="shared" si="3"/>
        <v>111.6105003</v>
      </c>
      <c r="F103" s="40">
        <f t="shared" si="4"/>
        <v>105.3810006</v>
      </c>
    </row>
    <row r="104" ht="12.0" customHeight="1">
      <c r="A104" s="55">
        <f>IF('長期'!A392="","",'長期'!A392)</f>
        <v>44914</v>
      </c>
      <c r="B104" s="40">
        <f t="shared" si="1"/>
        <v>129.2743421</v>
      </c>
      <c r="C104" s="40">
        <f t="shared" si="2"/>
        <v>123.337171</v>
      </c>
      <c r="D104" s="40">
        <f>'長期'!D392</f>
        <v>116</v>
      </c>
      <c r="E104" s="40">
        <f t="shared" si="3"/>
        <v>111.462829</v>
      </c>
      <c r="F104" s="40">
        <f t="shared" si="4"/>
        <v>105.5256579</v>
      </c>
    </row>
    <row r="105" ht="12.0" customHeight="1">
      <c r="A105" s="55">
        <f>IF('長期'!A391="","",'長期'!A391)</f>
        <v>44915</v>
      </c>
      <c r="B105" s="40">
        <f t="shared" si="1"/>
        <v>128.3607774</v>
      </c>
      <c r="C105" s="40">
        <f t="shared" si="2"/>
        <v>122.7003887</v>
      </c>
      <c r="D105" s="40">
        <f>'長期'!D391</f>
        <v>117</v>
      </c>
      <c r="E105" s="40">
        <f t="shared" si="3"/>
        <v>111.3796113</v>
      </c>
      <c r="F105" s="40">
        <f t="shared" si="4"/>
        <v>105.7192226</v>
      </c>
    </row>
    <row r="106" ht="12.0" customHeight="1">
      <c r="A106" s="55">
        <f>IF('長期'!A390="","",'長期'!A390)</f>
        <v>44916</v>
      </c>
      <c r="B106" s="40">
        <f t="shared" si="1"/>
        <v>127.4855828</v>
      </c>
      <c r="C106" s="40">
        <f t="shared" si="2"/>
        <v>122.0627914</v>
      </c>
      <c r="D106" s="40">
        <f>'長期'!D390</f>
        <v>115</v>
      </c>
      <c r="E106" s="40">
        <f t="shared" si="3"/>
        <v>111.2172086</v>
      </c>
      <c r="F106" s="40">
        <f t="shared" si="4"/>
        <v>105.7944172</v>
      </c>
    </row>
    <row r="107" ht="12.0" customHeight="1">
      <c r="A107" s="55">
        <f>IF('長期'!A389="","",'長期'!A389)</f>
        <v>44917</v>
      </c>
      <c r="B107" s="40">
        <f t="shared" si="1"/>
        <v>126.6847754</v>
      </c>
      <c r="C107" s="40">
        <f t="shared" si="2"/>
        <v>121.4623877</v>
      </c>
      <c r="D107" s="40">
        <f>'長期'!D389</f>
        <v>114</v>
      </c>
      <c r="E107" s="40">
        <f t="shared" si="3"/>
        <v>111.0176123</v>
      </c>
      <c r="F107" s="40">
        <f t="shared" si="4"/>
        <v>105.7952246</v>
      </c>
    </row>
    <row r="108" ht="12.0" customHeight="1">
      <c r="A108" s="55">
        <f>IF('長期'!A388="","",'長期'!A388)</f>
        <v>44918</v>
      </c>
      <c r="B108" s="40">
        <f t="shared" si="1"/>
        <v>126.011504</v>
      </c>
      <c r="C108" s="40">
        <f t="shared" si="2"/>
        <v>120.885752</v>
      </c>
      <c r="D108" s="40">
        <f>'長期'!D388</f>
        <v>111</v>
      </c>
      <c r="E108" s="40">
        <f t="shared" si="3"/>
        <v>110.634248</v>
      </c>
      <c r="F108" s="40">
        <f t="shared" si="4"/>
        <v>105.508496</v>
      </c>
    </row>
    <row r="109" ht="12.0" customHeight="1">
      <c r="A109" s="55">
        <f>IF('長期'!A387="","",'長期'!A387)</f>
        <v>44921</v>
      </c>
      <c r="B109" s="40">
        <f t="shared" si="1"/>
        <v>125.5786549</v>
      </c>
      <c r="C109" s="40">
        <f t="shared" si="2"/>
        <v>120.4493274</v>
      </c>
      <c r="D109" s="40">
        <f>'長期'!D387</f>
        <v>110</v>
      </c>
      <c r="E109" s="40">
        <f t="shared" si="3"/>
        <v>110.1906726</v>
      </c>
      <c r="F109" s="40">
        <f t="shared" si="4"/>
        <v>105.0613451</v>
      </c>
    </row>
    <row r="110" ht="12.0" customHeight="1">
      <c r="A110" s="55">
        <f>IF('長期'!A386="","",'長期'!A386)</f>
        <v>44922</v>
      </c>
      <c r="B110" s="40">
        <f t="shared" si="1"/>
        <v>124.8685342</v>
      </c>
      <c r="C110" s="40">
        <f t="shared" si="2"/>
        <v>119.8942671</v>
      </c>
      <c r="D110" s="40">
        <f>'長期'!D386</f>
        <v>112</v>
      </c>
      <c r="E110" s="40">
        <f t="shared" si="3"/>
        <v>109.9457329</v>
      </c>
      <c r="F110" s="40">
        <f t="shared" si="4"/>
        <v>104.9714658</v>
      </c>
    </row>
    <row r="111" ht="12.0" customHeight="1">
      <c r="A111" s="55">
        <f>IF('長期'!A385="","",'長期'!A385)</f>
        <v>44923</v>
      </c>
      <c r="B111" s="40">
        <f t="shared" si="1"/>
        <v>123.9106564</v>
      </c>
      <c r="C111" s="40">
        <f t="shared" si="2"/>
        <v>119.1753282</v>
      </c>
      <c r="D111" s="40">
        <f>'長期'!D385</f>
        <v>111</v>
      </c>
      <c r="E111" s="40">
        <f t="shared" si="3"/>
        <v>109.7046718</v>
      </c>
      <c r="F111" s="40">
        <f t="shared" si="4"/>
        <v>104.9693436</v>
      </c>
    </row>
    <row r="112" ht="12.0" customHeight="1">
      <c r="A112" s="55">
        <f>IF('長期'!A384="","",'長期'!A384)</f>
        <v>44924</v>
      </c>
      <c r="B112" s="40">
        <f t="shared" si="1"/>
        <v>123.0515919</v>
      </c>
      <c r="C112" s="40">
        <f t="shared" si="2"/>
        <v>118.5857959</v>
      </c>
      <c r="D112" s="40">
        <f>'長期'!D384</f>
        <v>114</v>
      </c>
      <c r="E112" s="40">
        <f t="shared" si="3"/>
        <v>109.6542041</v>
      </c>
      <c r="F112" s="40">
        <f t="shared" si="4"/>
        <v>105.1884081</v>
      </c>
    </row>
    <row r="113" ht="12.0" customHeight="1">
      <c r="A113" s="55">
        <f>IF('長期'!A383="","",'長期'!A383)</f>
        <v>44925</v>
      </c>
      <c r="B113" s="40">
        <f t="shared" si="1"/>
        <v>122.4233327</v>
      </c>
      <c r="C113" s="40">
        <f t="shared" si="2"/>
        <v>118.1716663</v>
      </c>
      <c r="D113" s="40">
        <f>'長期'!D383</f>
        <v>116</v>
      </c>
      <c r="E113" s="40">
        <f t="shared" si="3"/>
        <v>109.6683337</v>
      </c>
      <c r="F113" s="40">
        <f t="shared" si="4"/>
        <v>105.4166673</v>
      </c>
    </row>
    <row r="114" ht="12.0" customHeight="1">
      <c r="A114" s="55">
        <f>IF('長期'!A382="","",'長期'!A382)</f>
        <v>44930</v>
      </c>
      <c r="B114" s="40">
        <f t="shared" si="1"/>
        <v>121.9205501</v>
      </c>
      <c r="C114" s="40">
        <f t="shared" si="2"/>
        <v>117.8002751</v>
      </c>
      <c r="D114" s="40">
        <f>'長期'!D382</f>
        <v>113</v>
      </c>
      <c r="E114" s="40">
        <f t="shared" si="3"/>
        <v>109.5597249</v>
      </c>
      <c r="F114" s="40">
        <f t="shared" si="4"/>
        <v>105.4394499</v>
      </c>
    </row>
    <row r="115" ht="12.0" customHeight="1">
      <c r="A115" s="55">
        <f>IF('長期'!A381="","",'長期'!A381)</f>
        <v>44931</v>
      </c>
      <c r="B115" s="40">
        <f t="shared" si="1"/>
        <v>121.2519566</v>
      </c>
      <c r="C115" s="40">
        <f t="shared" si="2"/>
        <v>117.3459783</v>
      </c>
      <c r="D115" s="40">
        <f>'長期'!D381</f>
        <v>114</v>
      </c>
      <c r="E115" s="40">
        <f t="shared" si="3"/>
        <v>109.5340217</v>
      </c>
      <c r="F115" s="40">
        <f t="shared" si="4"/>
        <v>105.6280434</v>
      </c>
    </row>
    <row r="116" ht="12.0" customHeight="1">
      <c r="A116" s="55">
        <f>IF('長期'!A380="","",'長期'!A380)</f>
        <v>44932</v>
      </c>
      <c r="B116" s="40">
        <f t="shared" si="1"/>
        <v>121.1459667</v>
      </c>
      <c r="C116" s="40">
        <f t="shared" si="2"/>
        <v>117.2729833</v>
      </c>
      <c r="D116" s="40">
        <f>'長期'!D380</f>
        <v>116</v>
      </c>
      <c r="E116" s="40">
        <f t="shared" si="3"/>
        <v>109.5270167</v>
      </c>
      <c r="F116" s="40">
        <f t="shared" si="4"/>
        <v>105.6540333</v>
      </c>
    </row>
    <row r="117" ht="12.0" customHeight="1">
      <c r="A117" s="55">
        <f>IF('長期'!A379="","",'長期'!A379)</f>
        <v>44936</v>
      </c>
      <c r="B117" s="40">
        <f t="shared" si="1"/>
        <v>121.822909</v>
      </c>
      <c r="C117" s="40">
        <f t="shared" si="2"/>
        <v>117.7314545</v>
      </c>
      <c r="D117" s="40">
        <f>'長期'!D379</f>
        <v>120</v>
      </c>
      <c r="E117" s="40">
        <f t="shared" si="3"/>
        <v>109.5485455</v>
      </c>
      <c r="F117" s="40">
        <f t="shared" si="4"/>
        <v>105.457091</v>
      </c>
    </row>
    <row r="118" ht="12.0" customHeight="1">
      <c r="A118" s="55">
        <f>IF('長期'!A378="","",'長期'!A378)</f>
        <v>44937</v>
      </c>
      <c r="B118" s="40">
        <f t="shared" si="1"/>
        <v>122.3972581</v>
      </c>
      <c r="C118" s="40">
        <f t="shared" si="2"/>
        <v>118.1186291</v>
      </c>
      <c r="D118" s="40">
        <f>'長期'!D378</f>
        <v>120</v>
      </c>
      <c r="E118" s="40">
        <f t="shared" si="3"/>
        <v>109.5613709</v>
      </c>
      <c r="F118" s="40">
        <f t="shared" si="4"/>
        <v>105.2827419</v>
      </c>
    </row>
    <row r="119" ht="12.0" customHeight="1">
      <c r="A119" s="55">
        <f>IF('長期'!A377="","",'長期'!A377)</f>
        <v>44938</v>
      </c>
      <c r="B119" s="40">
        <f t="shared" si="1"/>
        <v>122.7939373</v>
      </c>
      <c r="C119" s="40">
        <f t="shared" si="2"/>
        <v>118.3969687</v>
      </c>
      <c r="D119" s="40">
        <f>'長期'!D377</f>
        <v>119</v>
      </c>
      <c r="E119" s="40">
        <f t="shared" si="3"/>
        <v>109.6030313</v>
      </c>
      <c r="F119" s="40">
        <f t="shared" si="4"/>
        <v>105.2060627</v>
      </c>
    </row>
    <row r="120" ht="12.0" customHeight="1">
      <c r="A120" s="55">
        <f>IF('長期'!A376="","",'長期'!A376)</f>
        <v>44939</v>
      </c>
      <c r="B120" s="40">
        <f t="shared" si="1"/>
        <v>123.1334433</v>
      </c>
      <c r="C120" s="40">
        <f t="shared" si="2"/>
        <v>118.6867216</v>
      </c>
      <c r="D120" s="40">
        <f>'長期'!D376</f>
        <v>118</v>
      </c>
      <c r="E120" s="40">
        <f t="shared" si="3"/>
        <v>109.7932784</v>
      </c>
      <c r="F120" s="40">
        <f t="shared" si="4"/>
        <v>105.3465567</v>
      </c>
    </row>
    <row r="121" ht="12.0" customHeight="1">
      <c r="A121" s="55">
        <f>IF('長期'!A375="","",'長期'!A375)</f>
        <v>44942</v>
      </c>
      <c r="B121" s="40">
        <f t="shared" si="1"/>
        <v>123.2543822</v>
      </c>
      <c r="C121" s="40">
        <f t="shared" si="2"/>
        <v>118.8471911</v>
      </c>
      <c r="D121" s="40">
        <f>'長期'!D375</f>
        <v>116</v>
      </c>
      <c r="E121" s="40">
        <f t="shared" si="3"/>
        <v>110.0328089</v>
      </c>
      <c r="F121" s="40">
        <f t="shared" si="4"/>
        <v>105.6256178</v>
      </c>
    </row>
    <row r="122" ht="12.0" customHeight="1">
      <c r="A122" s="55">
        <f>IF('長期'!A374="","",'長期'!A374)</f>
        <v>44943</v>
      </c>
      <c r="B122" s="40">
        <f t="shared" si="1"/>
        <v>123.1168248</v>
      </c>
      <c r="C122" s="40">
        <f t="shared" si="2"/>
        <v>118.9184124</v>
      </c>
      <c r="D122" s="40">
        <f>'長期'!D374</f>
        <v>115</v>
      </c>
      <c r="E122" s="40">
        <f t="shared" si="3"/>
        <v>110.5215876</v>
      </c>
      <c r="F122" s="40">
        <f t="shared" si="4"/>
        <v>106.3231752</v>
      </c>
    </row>
    <row r="123" ht="12.0" customHeight="1">
      <c r="A123" s="55">
        <f>IF('長期'!A373="","",'長期'!A373)</f>
        <v>44944</v>
      </c>
      <c r="B123" s="40">
        <f t="shared" si="1"/>
        <v>123.3321861</v>
      </c>
      <c r="C123" s="40">
        <f t="shared" si="2"/>
        <v>119.226093</v>
      </c>
      <c r="D123" s="40">
        <f>'長期'!D373</f>
        <v>119</v>
      </c>
      <c r="E123" s="40">
        <f t="shared" si="3"/>
        <v>111.013907</v>
      </c>
      <c r="F123" s="40">
        <f t="shared" si="4"/>
        <v>106.9078139</v>
      </c>
    </row>
    <row r="124" ht="12.0" customHeight="1">
      <c r="A124" s="55">
        <f>IF('長期'!A372="","",'長期'!A372)</f>
        <v>44945</v>
      </c>
      <c r="B124" s="40">
        <f t="shared" si="1"/>
        <v>124.0609307</v>
      </c>
      <c r="C124" s="40">
        <f t="shared" si="2"/>
        <v>119.8704654</v>
      </c>
      <c r="D124" s="40">
        <f>'長期'!D372</f>
        <v>123</v>
      </c>
      <c r="E124" s="40">
        <f t="shared" si="3"/>
        <v>111.4895346</v>
      </c>
      <c r="F124" s="40">
        <f t="shared" si="4"/>
        <v>107.2990693</v>
      </c>
    </row>
    <row r="125" ht="12.0" customHeight="1">
      <c r="A125" s="55">
        <f>IF('長期'!A371="","",'長期'!A371)</f>
        <v>44946</v>
      </c>
      <c r="B125" s="40">
        <f t="shared" si="1"/>
        <v>125.2271679</v>
      </c>
      <c r="C125" s="40">
        <f t="shared" si="2"/>
        <v>120.793584</v>
      </c>
      <c r="D125" s="40">
        <f>'長期'!D371</f>
        <v>126</v>
      </c>
      <c r="E125" s="40">
        <f t="shared" si="3"/>
        <v>111.926416</v>
      </c>
      <c r="F125" s="40">
        <f t="shared" si="4"/>
        <v>107.4928321</v>
      </c>
    </row>
    <row r="126" ht="12.0" customHeight="1">
      <c r="A126" s="55">
        <f>IF('長期'!A370="","",'長期'!A370)</f>
        <v>44949</v>
      </c>
      <c r="B126" s="40">
        <f t="shared" si="1"/>
        <v>126.7607681</v>
      </c>
      <c r="C126" s="40">
        <f t="shared" si="2"/>
        <v>121.9003841</v>
      </c>
      <c r="D126" s="40">
        <f>'長期'!D370</f>
        <v>128</v>
      </c>
      <c r="E126" s="40">
        <f t="shared" si="3"/>
        <v>112.1796159</v>
      </c>
      <c r="F126" s="40">
        <f t="shared" si="4"/>
        <v>107.3192319</v>
      </c>
    </row>
    <row r="127" ht="12.0" customHeight="1">
      <c r="A127" s="55">
        <f>IF('長期'!A369="","",'長期'!A369)</f>
        <v>44950</v>
      </c>
      <c r="B127" s="40">
        <f t="shared" si="1"/>
        <v>128.1676915</v>
      </c>
      <c r="C127" s="40">
        <f t="shared" si="2"/>
        <v>122.8438457</v>
      </c>
      <c r="D127" s="40">
        <f>'長期'!D369</f>
        <v>128</v>
      </c>
      <c r="E127" s="40">
        <f t="shared" si="3"/>
        <v>112.1961543</v>
      </c>
      <c r="F127" s="40">
        <f t="shared" si="4"/>
        <v>106.8723085</v>
      </c>
    </row>
    <row r="128" ht="12.0" customHeight="1">
      <c r="A128" s="55">
        <f>IF('長期'!A368="","",'長期'!A368)</f>
        <v>44951</v>
      </c>
      <c r="B128" s="40">
        <f t="shared" si="1"/>
        <v>128.5696551</v>
      </c>
      <c r="C128" s="40">
        <f t="shared" si="2"/>
        <v>123.0848276</v>
      </c>
      <c r="D128" s="40">
        <f>'長期'!D368</f>
        <v>129</v>
      </c>
      <c r="E128" s="40">
        <f t="shared" si="3"/>
        <v>112.1151724</v>
      </c>
      <c r="F128" s="40">
        <f t="shared" si="4"/>
        <v>106.6303449</v>
      </c>
    </row>
    <row r="129" ht="12.0" customHeight="1">
      <c r="A129" s="55">
        <f>IF('長期'!A367="","",'長期'!A367)</f>
        <v>44952</v>
      </c>
      <c r="B129" s="40">
        <f t="shared" si="1"/>
        <v>131.3199383</v>
      </c>
      <c r="C129" s="40">
        <f t="shared" si="2"/>
        <v>124.8399691</v>
      </c>
      <c r="D129" s="40">
        <f>'長期'!D367</f>
        <v>135</v>
      </c>
      <c r="E129" s="40">
        <f t="shared" si="3"/>
        <v>111.8800309</v>
      </c>
      <c r="F129" s="40">
        <f t="shared" si="4"/>
        <v>105.4000617</v>
      </c>
    </row>
    <row r="130" ht="12.0" customHeight="1">
      <c r="A130" s="55">
        <f>IF('長期'!A366="","",'長期'!A366)</f>
        <v>44953</v>
      </c>
      <c r="B130" s="40">
        <f t="shared" si="1"/>
        <v>133.2009389</v>
      </c>
      <c r="C130" s="40">
        <f t="shared" si="2"/>
        <v>126.1004695</v>
      </c>
      <c r="D130" s="40">
        <f>'長期'!D366</f>
        <v>133</v>
      </c>
      <c r="E130" s="40">
        <f t="shared" si="3"/>
        <v>111.8995305</v>
      </c>
      <c r="F130" s="40">
        <f t="shared" si="4"/>
        <v>104.7990611</v>
      </c>
    </row>
    <row r="131" ht="12.0" customHeight="1">
      <c r="A131" s="55">
        <f>IF('長期'!A365="","",'長期'!A365)</f>
        <v>44956</v>
      </c>
      <c r="B131" s="40">
        <f t="shared" si="1"/>
        <v>134.058684</v>
      </c>
      <c r="C131" s="40">
        <f t="shared" si="2"/>
        <v>126.789342</v>
      </c>
      <c r="D131" s="40">
        <f>'長期'!D365</f>
        <v>128</v>
      </c>
      <c r="E131" s="40">
        <f t="shared" si="3"/>
        <v>112.250658</v>
      </c>
      <c r="F131" s="40">
        <f t="shared" si="4"/>
        <v>104.981316</v>
      </c>
    </row>
    <row r="132" ht="12.0" customHeight="1">
      <c r="A132" s="55">
        <f>IF('長期'!A364="","",'長期'!A364)</f>
        <v>44957</v>
      </c>
      <c r="B132" s="40">
        <f t="shared" si="1"/>
        <v>134.8100147</v>
      </c>
      <c r="C132" s="40">
        <f t="shared" si="2"/>
        <v>127.4450074</v>
      </c>
      <c r="D132" s="40">
        <f>'長期'!D364</f>
        <v>128</v>
      </c>
      <c r="E132" s="40">
        <f t="shared" si="3"/>
        <v>112.7149926</v>
      </c>
      <c r="F132" s="40">
        <f t="shared" si="4"/>
        <v>105.3499853</v>
      </c>
    </row>
    <row r="133" ht="12.0" customHeight="1">
      <c r="A133" s="55">
        <f>IF('長期'!A363="","",'長期'!A363)</f>
        <v>44958</v>
      </c>
      <c r="B133" s="40">
        <f t="shared" si="1"/>
        <v>135.4401275</v>
      </c>
      <c r="C133" s="40">
        <f t="shared" si="2"/>
        <v>128.1200638</v>
      </c>
      <c r="D133" s="40">
        <f>'長期'!D363</f>
        <v>129</v>
      </c>
      <c r="E133" s="40">
        <f t="shared" si="3"/>
        <v>113.4799362</v>
      </c>
      <c r="F133" s="40">
        <f t="shared" si="4"/>
        <v>106.1598725</v>
      </c>
    </row>
    <row r="134" ht="12.0" customHeight="1">
      <c r="A134" s="55">
        <f>IF('長期'!A362="","",'長期'!A362)</f>
        <v>44959</v>
      </c>
      <c r="B134" s="40">
        <f t="shared" si="1"/>
        <v>135.3347391</v>
      </c>
      <c r="C134" s="40">
        <f t="shared" si="2"/>
        <v>128.3473696</v>
      </c>
      <c r="D134" s="40">
        <f>'長期'!D362</f>
        <v>124</v>
      </c>
      <c r="E134" s="40">
        <f t="shared" si="3"/>
        <v>114.3726304</v>
      </c>
      <c r="F134" s="40">
        <f t="shared" si="4"/>
        <v>107.3852609</v>
      </c>
    </row>
    <row r="135" ht="12.0" customHeight="1">
      <c r="A135" s="55">
        <f>IF('長期'!A361="","",'長期'!A361)</f>
        <v>44960</v>
      </c>
      <c r="B135" s="40">
        <f t="shared" si="1"/>
        <v>136.1918685</v>
      </c>
      <c r="C135" s="40">
        <f t="shared" si="2"/>
        <v>129.1759342</v>
      </c>
      <c r="D135" s="40">
        <f>'長期'!D361</f>
        <v>132</v>
      </c>
      <c r="E135" s="40">
        <f t="shared" si="3"/>
        <v>115.1440658</v>
      </c>
      <c r="F135" s="40">
        <f t="shared" si="4"/>
        <v>108.1281315</v>
      </c>
    </row>
    <row r="136" ht="12.0" customHeight="1">
      <c r="A136" s="55">
        <f>IF('長期'!A360="","",'長期'!A360)</f>
        <v>44963</v>
      </c>
      <c r="B136" s="40">
        <f t="shared" si="1"/>
        <v>136.6162562</v>
      </c>
      <c r="C136" s="40">
        <f t="shared" si="2"/>
        <v>129.7881281</v>
      </c>
      <c r="D136" s="40">
        <f>'長期'!D360</f>
        <v>131</v>
      </c>
      <c r="E136" s="40">
        <f t="shared" si="3"/>
        <v>116.1318719</v>
      </c>
      <c r="F136" s="40">
        <f t="shared" si="4"/>
        <v>109.3037438</v>
      </c>
    </row>
    <row r="137" ht="12.0" customHeight="1">
      <c r="A137" s="55">
        <f>IF('長期'!A359="","",'長期'!A359)</f>
        <v>44964</v>
      </c>
      <c r="B137" s="40">
        <f t="shared" si="1"/>
        <v>137.2657769</v>
      </c>
      <c r="C137" s="40">
        <f t="shared" si="2"/>
        <v>130.4728884</v>
      </c>
      <c r="D137" s="40">
        <f>'長期'!D359</f>
        <v>132</v>
      </c>
      <c r="E137" s="40">
        <f t="shared" si="3"/>
        <v>116.8871116</v>
      </c>
      <c r="F137" s="40">
        <f t="shared" si="4"/>
        <v>110.0942231</v>
      </c>
    </row>
    <row r="138" ht="12.0" customHeight="1">
      <c r="A138" s="55">
        <f>IF('長期'!A358="","",'長期'!A358)</f>
        <v>44965</v>
      </c>
      <c r="B138" s="40">
        <f t="shared" si="1"/>
        <v>138.3573752</v>
      </c>
      <c r="C138" s="40">
        <f t="shared" si="2"/>
        <v>131.3986876</v>
      </c>
      <c r="D138" s="40">
        <f>'長期'!D358</f>
        <v>135</v>
      </c>
      <c r="E138" s="40">
        <f t="shared" si="3"/>
        <v>117.4813124</v>
      </c>
      <c r="F138" s="40">
        <f t="shared" si="4"/>
        <v>110.5226248</v>
      </c>
    </row>
    <row r="139" ht="12.0" customHeight="1">
      <c r="A139" s="55">
        <f>IF('長期'!A357="","",'長期'!A357)</f>
        <v>44966</v>
      </c>
      <c r="B139" s="40">
        <f t="shared" si="1"/>
        <v>139.920463</v>
      </c>
      <c r="C139" s="40">
        <f t="shared" si="2"/>
        <v>132.7202315</v>
      </c>
      <c r="D139" s="40">
        <f>'長期'!D357</f>
        <v>140</v>
      </c>
      <c r="E139" s="40">
        <f t="shared" si="3"/>
        <v>118.3197685</v>
      </c>
      <c r="F139" s="40">
        <f t="shared" si="4"/>
        <v>111.119537</v>
      </c>
    </row>
    <row r="140" ht="12.0" customHeight="1">
      <c r="A140" s="55">
        <f>IF('長期'!A356="","",'長期'!A356)</f>
        <v>44967</v>
      </c>
      <c r="B140" s="40">
        <f t="shared" si="1"/>
        <v>140.7121173</v>
      </c>
      <c r="C140" s="40">
        <f t="shared" si="2"/>
        <v>133.5760587</v>
      </c>
      <c r="D140" s="40">
        <f>'長期'!D356</f>
        <v>137</v>
      </c>
      <c r="E140" s="40">
        <f t="shared" si="3"/>
        <v>119.3039413</v>
      </c>
      <c r="F140" s="40">
        <f t="shared" si="4"/>
        <v>112.1678827</v>
      </c>
    </row>
    <row r="141" ht="12.0" customHeight="1">
      <c r="A141" s="55">
        <f>IF('長期'!A355="","",'長期'!A355)</f>
        <v>44970</v>
      </c>
      <c r="B141" s="40">
        <f t="shared" si="1"/>
        <v>140.5132553</v>
      </c>
      <c r="C141" s="40">
        <f t="shared" si="2"/>
        <v>133.5366276</v>
      </c>
      <c r="D141" s="40">
        <f>'長期'!D355</f>
        <v>119</v>
      </c>
      <c r="E141" s="40">
        <f t="shared" si="3"/>
        <v>119.5833724</v>
      </c>
      <c r="F141" s="40">
        <f t="shared" si="4"/>
        <v>112.6067447</v>
      </c>
    </row>
    <row r="142" ht="12.0" customHeight="1">
      <c r="A142" s="55">
        <f>IF('長期'!A354="","",'長期'!A354)</f>
        <v>44971</v>
      </c>
      <c r="B142" s="40">
        <f t="shared" si="1"/>
        <v>140.4804419</v>
      </c>
      <c r="C142" s="40">
        <f t="shared" si="2"/>
        <v>133.5402209</v>
      </c>
      <c r="D142" s="40">
        <f>'長期'!D354</f>
        <v>121</v>
      </c>
      <c r="E142" s="40">
        <f t="shared" si="3"/>
        <v>119.6597791</v>
      </c>
      <c r="F142" s="40">
        <f t="shared" si="4"/>
        <v>112.7195581</v>
      </c>
    </row>
    <row r="143" ht="12.0" customHeight="1">
      <c r="A143" s="55">
        <f>IF('長期'!A353="","",'長期'!A353)</f>
        <v>44972</v>
      </c>
      <c r="B143" s="40">
        <f t="shared" si="1"/>
        <v>141.0137628</v>
      </c>
      <c r="C143" s="40">
        <f t="shared" si="2"/>
        <v>133.6668814</v>
      </c>
      <c r="D143" s="40">
        <f>'長期'!D353</f>
        <v>113</v>
      </c>
      <c r="E143" s="40">
        <f t="shared" si="3"/>
        <v>118.9731186</v>
      </c>
      <c r="F143" s="40">
        <f t="shared" si="4"/>
        <v>111.6262372</v>
      </c>
    </row>
    <row r="144" ht="12.0" customHeight="1">
      <c r="A144" s="55">
        <f>IF('長期'!A352="","",'長期'!A352)</f>
        <v>44973</v>
      </c>
      <c r="B144" s="40">
        <f t="shared" si="1"/>
        <v>141.4522694</v>
      </c>
      <c r="C144" s="40">
        <f t="shared" si="2"/>
        <v>133.7661347</v>
      </c>
      <c r="D144" s="40">
        <f>'長期'!D352</f>
        <v>113</v>
      </c>
      <c r="E144" s="40">
        <f t="shared" si="3"/>
        <v>118.3938653</v>
      </c>
      <c r="F144" s="40">
        <f t="shared" si="4"/>
        <v>110.7077306</v>
      </c>
    </row>
    <row r="145" ht="12.0" customHeight="1">
      <c r="A145" s="55">
        <f>IF('長期'!A351="","",'長期'!A351)</f>
        <v>44974</v>
      </c>
      <c r="B145" s="40">
        <f t="shared" si="1"/>
        <v>141.8102647</v>
      </c>
      <c r="C145" s="40">
        <f t="shared" si="2"/>
        <v>133.8451323</v>
      </c>
      <c r="D145" s="40">
        <f>'長期'!D351</f>
        <v>113</v>
      </c>
      <c r="E145" s="40">
        <f t="shared" si="3"/>
        <v>117.9148677</v>
      </c>
      <c r="F145" s="40">
        <f t="shared" si="4"/>
        <v>109.9497353</v>
      </c>
    </row>
    <row r="146" ht="12.0" customHeight="1">
      <c r="A146" s="55">
        <f>IF('長期'!A350="","",'長期'!A350)</f>
        <v>44977</v>
      </c>
      <c r="B146" s="40">
        <f t="shared" si="1"/>
        <v>142.0416871</v>
      </c>
      <c r="C146" s="40">
        <f t="shared" si="2"/>
        <v>133.9008435</v>
      </c>
      <c r="D146" s="40">
        <f>'長期'!D350</f>
        <v>113</v>
      </c>
      <c r="E146" s="40">
        <f t="shared" si="3"/>
        <v>117.6191565</v>
      </c>
      <c r="F146" s="40">
        <f t="shared" si="4"/>
        <v>109.4783129</v>
      </c>
    </row>
    <row r="147" ht="12.0" customHeight="1">
      <c r="A147" s="55">
        <f>IF('長期'!A349="","",'長期'!A349)</f>
        <v>44978</v>
      </c>
      <c r="B147" s="40">
        <f t="shared" si="1"/>
        <v>142.292127</v>
      </c>
      <c r="C147" s="40">
        <f t="shared" si="2"/>
        <v>133.9660635</v>
      </c>
      <c r="D147" s="40">
        <f>'長期'!D349</f>
        <v>112</v>
      </c>
      <c r="E147" s="40">
        <f t="shared" si="3"/>
        <v>117.3139365</v>
      </c>
      <c r="F147" s="40">
        <f t="shared" si="4"/>
        <v>108.987873</v>
      </c>
    </row>
    <row r="148" ht="12.0" customHeight="1">
      <c r="A148" s="55">
        <f>IF('長期'!A348="","",'長期'!A348)</f>
        <v>44979</v>
      </c>
      <c r="B148" s="40">
        <f t="shared" si="1"/>
        <v>142.5385379</v>
      </c>
      <c r="C148" s="40">
        <f t="shared" si="2"/>
        <v>133.989269</v>
      </c>
      <c r="D148" s="40">
        <f>'長期'!D348</f>
        <v>114</v>
      </c>
      <c r="E148" s="40">
        <f t="shared" si="3"/>
        <v>116.890731</v>
      </c>
      <c r="F148" s="40">
        <f t="shared" si="4"/>
        <v>108.3414621</v>
      </c>
    </row>
    <row r="149" ht="12.0" customHeight="1">
      <c r="A149" s="55">
        <f>IF('長期'!A347="","",'長期'!A347)</f>
        <v>44981</v>
      </c>
      <c r="B149" s="40">
        <f t="shared" si="1"/>
        <v>142.8302595</v>
      </c>
      <c r="C149" s="40">
        <f t="shared" si="2"/>
        <v>133.9351298</v>
      </c>
      <c r="D149" s="40">
        <f>'長期'!D347</f>
        <v>113</v>
      </c>
      <c r="E149" s="40">
        <f t="shared" si="3"/>
        <v>116.1448702</v>
      </c>
      <c r="F149" s="40">
        <f t="shared" si="4"/>
        <v>107.2497405</v>
      </c>
    </row>
    <row r="150" ht="12.0" customHeight="1">
      <c r="A150" s="55">
        <f>IF('長期'!A346="","",'長期'!A346)</f>
        <v>44984</v>
      </c>
      <c r="B150" s="40">
        <f t="shared" si="1"/>
        <v>142.7864413</v>
      </c>
      <c r="C150" s="40">
        <f t="shared" si="2"/>
        <v>133.7132207</v>
      </c>
      <c r="D150" s="40">
        <f>'長期'!D346</f>
        <v>116</v>
      </c>
      <c r="E150" s="40">
        <f t="shared" si="3"/>
        <v>115.5667793</v>
      </c>
      <c r="F150" s="40">
        <f t="shared" si="4"/>
        <v>106.4935587</v>
      </c>
    </row>
    <row r="151" ht="12.0" customHeight="1">
      <c r="A151" s="55">
        <f>IF('長期'!A345="","",'長期'!A345)</f>
        <v>44985</v>
      </c>
      <c r="B151" s="40">
        <f t="shared" si="1"/>
        <v>142.5182202</v>
      </c>
      <c r="C151" s="40">
        <f t="shared" si="2"/>
        <v>133.3791101</v>
      </c>
      <c r="D151" s="40">
        <f>'長期'!D345</f>
        <v>118</v>
      </c>
      <c r="E151" s="40">
        <f t="shared" si="3"/>
        <v>115.1008899</v>
      </c>
      <c r="F151" s="40">
        <f t="shared" si="4"/>
        <v>105.9617798</v>
      </c>
    </row>
    <row r="152" ht="12.0" customHeight="1">
      <c r="A152" s="55">
        <f>IF('長期'!A344="","",'長期'!A344)</f>
        <v>44986</v>
      </c>
      <c r="B152" s="40">
        <f t="shared" si="1"/>
        <v>142.2557653</v>
      </c>
      <c r="C152" s="40">
        <f t="shared" si="2"/>
        <v>133.0078826</v>
      </c>
      <c r="D152" s="40">
        <f>'長期'!D344</f>
        <v>116</v>
      </c>
      <c r="E152" s="40">
        <f t="shared" si="3"/>
        <v>114.5121174</v>
      </c>
      <c r="F152" s="40">
        <f t="shared" si="4"/>
        <v>105.2642347</v>
      </c>
    </row>
    <row r="153" ht="12.0" customHeight="1">
      <c r="A153" s="55">
        <f>IF('長期'!A343="","",'長期'!A343)</f>
        <v>44987</v>
      </c>
      <c r="B153" s="40">
        <f t="shared" si="1"/>
        <v>141.8815417</v>
      </c>
      <c r="C153" s="40">
        <f t="shared" si="2"/>
        <v>132.5407708</v>
      </c>
      <c r="D153" s="40">
        <f>'長期'!D343</f>
        <v>115</v>
      </c>
      <c r="E153" s="40">
        <f t="shared" si="3"/>
        <v>113.8592292</v>
      </c>
      <c r="F153" s="40">
        <f t="shared" si="4"/>
        <v>104.5184583</v>
      </c>
    </row>
    <row r="154" ht="12.0" customHeight="1">
      <c r="A154" s="55">
        <f>IF('長期'!A342="","",'長期'!A342)</f>
        <v>44988</v>
      </c>
      <c r="B154" s="40">
        <f t="shared" si="1"/>
        <v>140.6615989</v>
      </c>
      <c r="C154" s="40">
        <f t="shared" si="2"/>
        <v>131.5507995</v>
      </c>
      <c r="D154" s="40">
        <f>'長期'!D342</f>
        <v>116</v>
      </c>
      <c r="E154" s="40">
        <f t="shared" si="3"/>
        <v>113.3292005</v>
      </c>
      <c r="F154" s="40">
        <f t="shared" si="4"/>
        <v>104.2184011</v>
      </c>
    </row>
    <row r="155" ht="12.0" customHeight="1">
      <c r="A155" s="55">
        <f>IF('長期'!A341="","",'長期'!A341)</f>
        <v>44991</v>
      </c>
      <c r="B155" s="40">
        <f t="shared" si="1"/>
        <v>139.6227</v>
      </c>
      <c r="C155" s="40">
        <f t="shared" si="2"/>
        <v>130.67135</v>
      </c>
      <c r="D155" s="40">
        <f>'長期'!D341</f>
        <v>115</v>
      </c>
      <c r="E155" s="40">
        <f t="shared" si="3"/>
        <v>112.76865</v>
      </c>
      <c r="F155" s="40">
        <f t="shared" si="4"/>
        <v>103.8173</v>
      </c>
    </row>
    <row r="156" ht="12.0" customHeight="1">
      <c r="A156" s="55">
        <f>IF('長期'!A340="","",'長期'!A340)</f>
        <v>44992</v>
      </c>
      <c r="B156" s="40">
        <f t="shared" si="1"/>
        <v>139.08</v>
      </c>
      <c r="C156" s="40">
        <f t="shared" si="2"/>
        <v>130.18</v>
      </c>
      <c r="D156" s="40">
        <f>'長期'!D340</f>
        <v>117</v>
      </c>
      <c r="E156" s="40">
        <f t="shared" si="3"/>
        <v>112.38</v>
      </c>
      <c r="F156" s="40">
        <f t="shared" si="4"/>
        <v>103.48</v>
      </c>
    </row>
    <row r="157" ht="12.0" customHeight="1">
      <c r="A157" s="55">
        <f>IF('長期'!A339="","",'長期'!A339)</f>
        <v>44993</v>
      </c>
      <c r="B157" s="40">
        <f t="shared" si="1"/>
        <v>138.4910623</v>
      </c>
      <c r="C157" s="40">
        <f t="shared" si="2"/>
        <v>129.6655311</v>
      </c>
      <c r="D157" s="40">
        <f>'長期'!D339</f>
        <v>117</v>
      </c>
      <c r="E157" s="40">
        <f t="shared" si="3"/>
        <v>112.0144689</v>
      </c>
      <c r="F157" s="40">
        <f t="shared" si="4"/>
        <v>103.1889377</v>
      </c>
    </row>
    <row r="158" ht="12.0" customHeight="1">
      <c r="A158" s="55">
        <f>IF('長期'!A338="","",'長期'!A338)</f>
        <v>44994</v>
      </c>
      <c r="B158" s="40">
        <f t="shared" si="1"/>
        <v>137.7369963</v>
      </c>
      <c r="C158" s="40">
        <f t="shared" si="2"/>
        <v>129.0484981</v>
      </c>
      <c r="D158" s="40">
        <f>'長期'!D338</f>
        <v>117</v>
      </c>
      <c r="E158" s="40">
        <f t="shared" si="3"/>
        <v>111.6715019</v>
      </c>
      <c r="F158" s="40">
        <f t="shared" si="4"/>
        <v>102.9830037</v>
      </c>
    </row>
    <row r="159" ht="12.0" customHeight="1">
      <c r="A159" s="55">
        <f>IF('長期'!A337="","",'長期'!A337)</f>
        <v>44995</v>
      </c>
      <c r="B159" s="40">
        <f t="shared" si="1"/>
        <v>137.4479006</v>
      </c>
      <c r="C159" s="40">
        <f t="shared" si="2"/>
        <v>128.7039503</v>
      </c>
      <c r="D159" s="40">
        <f>'長期'!D337</f>
        <v>114</v>
      </c>
      <c r="E159" s="40">
        <f t="shared" si="3"/>
        <v>111.2160497</v>
      </c>
      <c r="F159" s="40">
        <f t="shared" si="4"/>
        <v>102.4720994</v>
      </c>
    </row>
    <row r="160" ht="12.0" customHeight="1">
      <c r="A160" s="55">
        <f>IF('長期'!A336="","",'長期'!A336)</f>
        <v>44998</v>
      </c>
      <c r="B160" s="40">
        <f t="shared" si="1"/>
        <v>136.1299177</v>
      </c>
      <c r="C160" s="40">
        <f t="shared" si="2"/>
        <v>127.7249589</v>
      </c>
      <c r="D160" s="40">
        <f>'長期'!D336</f>
        <v>116</v>
      </c>
      <c r="E160" s="40">
        <f t="shared" si="3"/>
        <v>110.9150411</v>
      </c>
      <c r="F160" s="40">
        <f t="shared" si="4"/>
        <v>102.5100823</v>
      </c>
    </row>
    <row r="161" ht="12.0" customHeight="1">
      <c r="A161" s="55">
        <f>IF('長期'!A335="","",'長期'!A335)</f>
        <v>44999</v>
      </c>
      <c r="B161" s="40">
        <f t="shared" si="1"/>
        <v>134.8583312</v>
      </c>
      <c r="C161" s="40">
        <f t="shared" si="2"/>
        <v>126.7291656</v>
      </c>
      <c r="D161" s="40">
        <f>'長期'!D335</f>
        <v>113</v>
      </c>
      <c r="E161" s="40">
        <f t="shared" si="3"/>
        <v>110.4708344</v>
      </c>
      <c r="F161" s="40">
        <f t="shared" si="4"/>
        <v>102.3416688</v>
      </c>
    </row>
    <row r="162" ht="12.0" customHeight="1">
      <c r="A162" s="55">
        <f>IF('長期'!A334="","",'長期'!A334)</f>
        <v>45000</v>
      </c>
      <c r="B162" s="40">
        <f t="shared" si="1"/>
        <v>133.2596248</v>
      </c>
      <c r="C162" s="40">
        <f t="shared" si="2"/>
        <v>125.5298124</v>
      </c>
      <c r="D162" s="40">
        <f>'長期'!D334</f>
        <v>112</v>
      </c>
      <c r="E162" s="40">
        <f t="shared" si="3"/>
        <v>110.0701876</v>
      </c>
      <c r="F162" s="40">
        <f t="shared" si="4"/>
        <v>102.3403752</v>
      </c>
    </row>
    <row r="163" ht="12.0" customHeight="1">
      <c r="A163" s="55">
        <f>IF('長期'!A333="","",'長期'!A333)</f>
        <v>45001</v>
      </c>
      <c r="B163" s="40">
        <f t="shared" si="1"/>
        <v>130.8345633</v>
      </c>
      <c r="C163" s="40">
        <f t="shared" si="2"/>
        <v>123.7972817</v>
      </c>
      <c r="D163" s="40">
        <f>'長期'!D333</f>
        <v>109</v>
      </c>
      <c r="E163" s="40">
        <f t="shared" si="3"/>
        <v>109.7227183</v>
      </c>
      <c r="F163" s="40">
        <f t="shared" si="4"/>
        <v>102.6854367</v>
      </c>
    </row>
    <row r="164" ht="12.0" customHeight="1">
      <c r="A164" s="55">
        <f>IF('長期'!A332="","",'長期'!A332)</f>
        <v>45002</v>
      </c>
      <c r="B164" s="40">
        <f t="shared" si="1"/>
        <v>125.9548885</v>
      </c>
      <c r="C164" s="40">
        <f t="shared" si="2"/>
        <v>120.8174442</v>
      </c>
      <c r="D164" s="40">
        <f>'長期'!D332</f>
        <v>113</v>
      </c>
      <c r="E164" s="40">
        <f t="shared" si="3"/>
        <v>110.5425558</v>
      </c>
      <c r="F164" s="40">
        <f t="shared" si="4"/>
        <v>105.4051115</v>
      </c>
    </row>
    <row r="165" ht="12.0" customHeight="1">
      <c r="A165" s="55">
        <f>IF('長期'!A331="","",'長期'!A331)</f>
        <v>45005</v>
      </c>
      <c r="B165" s="40">
        <f t="shared" si="1"/>
        <v>120.0214496</v>
      </c>
      <c r="C165" s="40">
        <f t="shared" si="2"/>
        <v>117.3307248</v>
      </c>
      <c r="D165" s="40">
        <f>'長期'!D331</f>
        <v>111</v>
      </c>
      <c r="E165" s="40">
        <f t="shared" si="3"/>
        <v>111.9492752</v>
      </c>
      <c r="F165" s="40">
        <f t="shared" si="4"/>
        <v>109.2585504</v>
      </c>
    </row>
    <row r="166" ht="12.0" customHeight="1">
      <c r="A166" s="55">
        <f>IF('長期'!A330="","",'長期'!A330)</f>
        <v>45007</v>
      </c>
      <c r="B166" s="40">
        <f t="shared" si="1"/>
        <v>119.6502886</v>
      </c>
      <c r="C166" s="40">
        <f t="shared" si="2"/>
        <v>116.9651443</v>
      </c>
      <c r="D166" s="40">
        <f>'長期'!D330</f>
        <v>110</v>
      </c>
      <c r="E166" s="40">
        <f t="shared" si="3"/>
        <v>111.5948557</v>
      </c>
      <c r="F166" s="40">
        <f t="shared" si="4"/>
        <v>108.9097114</v>
      </c>
    </row>
    <row r="167" ht="12.0" customHeight="1">
      <c r="A167" s="55">
        <f>IF('長期'!A329="","",'長期'!A329)</f>
        <v>45008</v>
      </c>
      <c r="B167" s="40">
        <f t="shared" si="1"/>
        <v>118.8</v>
      </c>
      <c r="C167" s="40">
        <f t="shared" si="2"/>
        <v>116.3</v>
      </c>
      <c r="D167" s="40">
        <f>'長期'!D329</f>
        <v>109</v>
      </c>
      <c r="E167" s="40">
        <f t="shared" si="3"/>
        <v>111.3</v>
      </c>
      <c r="F167" s="40">
        <f t="shared" si="4"/>
        <v>108.8</v>
      </c>
    </row>
    <row r="168" ht="12.0" customHeight="1">
      <c r="A168" s="55">
        <f>IF('長期'!A328="","",'長期'!A328)</f>
        <v>45009</v>
      </c>
      <c r="B168" s="40">
        <f t="shared" si="1"/>
        <v>118.8991953</v>
      </c>
      <c r="C168" s="40">
        <f t="shared" si="2"/>
        <v>116.2895977</v>
      </c>
      <c r="D168" s="40">
        <f>'長期'!D328</f>
        <v>110</v>
      </c>
      <c r="E168" s="40">
        <f t="shared" si="3"/>
        <v>111.0704023</v>
      </c>
      <c r="F168" s="40">
        <f t="shared" si="4"/>
        <v>108.4608047</v>
      </c>
    </row>
    <row r="169" ht="12.0" customHeight="1">
      <c r="A169" s="55">
        <f>IF('長期'!A327="","",'長期'!A327)</f>
        <v>45012</v>
      </c>
      <c r="B169" s="40">
        <f t="shared" si="1"/>
        <v>118.9784869</v>
      </c>
      <c r="C169" s="40">
        <f t="shared" si="2"/>
        <v>116.2692434</v>
      </c>
      <c r="D169" s="40">
        <f>'長期'!D327</f>
        <v>110</v>
      </c>
      <c r="E169" s="40">
        <f t="shared" si="3"/>
        <v>110.8507566</v>
      </c>
      <c r="F169" s="40">
        <f t="shared" si="4"/>
        <v>108.1415131</v>
      </c>
    </row>
    <row r="170" ht="12.0" customHeight="1">
      <c r="A170" s="55">
        <f>IF('長期'!A326="","",'長期'!A326)</f>
        <v>45013</v>
      </c>
      <c r="B170" s="40">
        <f t="shared" si="1"/>
        <v>119.0160256</v>
      </c>
      <c r="C170" s="40">
        <f t="shared" si="2"/>
        <v>116.3080128</v>
      </c>
      <c r="D170" s="40">
        <f>'長期'!D326</f>
        <v>114</v>
      </c>
      <c r="E170" s="40">
        <f t="shared" si="3"/>
        <v>110.8919872</v>
      </c>
      <c r="F170" s="40">
        <f t="shared" si="4"/>
        <v>108.1839744</v>
      </c>
    </row>
    <row r="171" ht="12.0" customHeight="1">
      <c r="A171" s="55">
        <f>IF('長期'!A325="","",'長期'!A325)</f>
        <v>45014</v>
      </c>
      <c r="B171" s="40">
        <f t="shared" si="1"/>
        <v>119.0523316</v>
      </c>
      <c r="C171" s="40">
        <f t="shared" si="2"/>
        <v>116.3461658</v>
      </c>
      <c r="D171" s="40">
        <f>'長期'!D325</f>
        <v>114</v>
      </c>
      <c r="E171" s="40">
        <f t="shared" si="3"/>
        <v>110.9338342</v>
      </c>
      <c r="F171" s="40">
        <f t="shared" si="4"/>
        <v>108.2276684</v>
      </c>
    </row>
    <row r="172" ht="12.0" customHeight="1">
      <c r="A172" s="55">
        <f>IF('長期'!A324="","",'長期'!A324)</f>
        <v>45015</v>
      </c>
      <c r="B172" s="40">
        <f t="shared" si="1"/>
        <v>119.36811</v>
      </c>
      <c r="C172" s="40">
        <f t="shared" si="2"/>
        <v>116.604055</v>
      </c>
      <c r="D172" s="40">
        <f>'長期'!D324</f>
        <v>117</v>
      </c>
      <c r="E172" s="40">
        <f t="shared" si="3"/>
        <v>111.075945</v>
      </c>
      <c r="F172" s="40">
        <f t="shared" si="4"/>
        <v>108.31189</v>
      </c>
    </row>
    <row r="173" ht="12.0" customHeight="1">
      <c r="A173" s="55">
        <f>IF('長期'!A323="","",'長期'!A323)</f>
        <v>45016</v>
      </c>
      <c r="B173" s="40">
        <f t="shared" si="1"/>
        <v>119.5152361</v>
      </c>
      <c r="C173" s="40">
        <f t="shared" si="2"/>
        <v>116.717618</v>
      </c>
      <c r="D173" s="40">
        <f>'長期'!D323</f>
        <v>116</v>
      </c>
      <c r="E173" s="40">
        <f t="shared" si="3"/>
        <v>111.122382</v>
      </c>
      <c r="F173" s="40">
        <f t="shared" si="4"/>
        <v>108.3247639</v>
      </c>
    </row>
    <row r="174" ht="12.0" customHeight="1">
      <c r="A174" s="55">
        <f>IF('長期'!A322="","",'長期'!A322)</f>
        <v>45019</v>
      </c>
      <c r="B174" s="40">
        <f t="shared" si="1"/>
        <v>119.6815128</v>
      </c>
      <c r="C174" s="40">
        <f t="shared" si="2"/>
        <v>116.8607564</v>
      </c>
      <c r="D174" s="40">
        <f>'長期'!D322</f>
        <v>116</v>
      </c>
      <c r="E174" s="40">
        <f t="shared" si="3"/>
        <v>111.2192436</v>
      </c>
      <c r="F174" s="40">
        <f t="shared" si="4"/>
        <v>108.3984872</v>
      </c>
    </row>
    <row r="175" ht="12.0" customHeight="1">
      <c r="A175" s="55">
        <f>IF('長期'!A321="","",'長期'!A321)</f>
        <v>45020</v>
      </c>
      <c r="B175" s="40">
        <f t="shared" si="1"/>
        <v>119.5421143</v>
      </c>
      <c r="C175" s="40">
        <f t="shared" si="2"/>
        <v>116.7510571</v>
      </c>
      <c r="D175" s="40">
        <f>'長期'!D321</f>
        <v>114</v>
      </c>
      <c r="E175" s="40">
        <f t="shared" si="3"/>
        <v>111.1689429</v>
      </c>
      <c r="F175" s="40">
        <f t="shared" si="4"/>
        <v>108.3778857</v>
      </c>
    </row>
    <row r="176" ht="12.0" customHeight="1">
      <c r="A176" s="55">
        <f>IF('長期'!A320="","",'長期'!A320)</f>
        <v>45021</v>
      </c>
      <c r="B176" s="40">
        <f t="shared" si="1"/>
        <v>119.0902886</v>
      </c>
      <c r="C176" s="40">
        <f t="shared" si="2"/>
        <v>116.4051443</v>
      </c>
      <c r="D176" s="40">
        <f>'長期'!D320</f>
        <v>112</v>
      </c>
      <c r="E176" s="40">
        <f t="shared" si="3"/>
        <v>111.0348557</v>
      </c>
      <c r="F176" s="40">
        <f t="shared" si="4"/>
        <v>108.3497114</v>
      </c>
    </row>
    <row r="177" ht="12.0" customHeight="1">
      <c r="A177" s="55">
        <f>IF('長期'!A319="","",'長期'!A319)</f>
        <v>45022</v>
      </c>
      <c r="B177" s="40">
        <f t="shared" si="1"/>
        <v>118.8854108</v>
      </c>
      <c r="C177" s="40">
        <f t="shared" si="2"/>
        <v>116.2227054</v>
      </c>
      <c r="D177" s="40">
        <f>'長期'!D319</f>
        <v>112</v>
      </c>
      <c r="E177" s="40">
        <f t="shared" si="3"/>
        <v>110.8972946</v>
      </c>
      <c r="F177" s="40">
        <f t="shared" si="4"/>
        <v>108.2345892</v>
      </c>
    </row>
    <row r="178" ht="12.0" customHeight="1">
      <c r="A178" s="55">
        <f>IF('長期'!A318="","",'長期'!A318)</f>
        <v>45023</v>
      </c>
      <c r="B178" s="40">
        <f t="shared" si="1"/>
        <v>118.7654108</v>
      </c>
      <c r="C178" s="40">
        <f t="shared" si="2"/>
        <v>116.1027054</v>
      </c>
      <c r="D178" s="40">
        <f>'長期'!D318</f>
        <v>112</v>
      </c>
      <c r="E178" s="40">
        <f t="shared" si="3"/>
        <v>110.7772946</v>
      </c>
      <c r="F178" s="40">
        <f t="shared" si="4"/>
        <v>108.1145892</v>
      </c>
    </row>
    <row r="179" ht="12.0" customHeight="1">
      <c r="A179" s="55">
        <f>IF('長期'!A317="","",'長期'!A317)</f>
        <v>45026</v>
      </c>
      <c r="B179" s="40">
        <f t="shared" si="1"/>
        <v>118.5391953</v>
      </c>
      <c r="C179" s="40">
        <f t="shared" si="2"/>
        <v>115.9295977</v>
      </c>
      <c r="D179" s="40">
        <f>'長期'!D317</f>
        <v>113</v>
      </c>
      <c r="E179" s="40">
        <f t="shared" si="3"/>
        <v>110.7104023</v>
      </c>
      <c r="F179" s="40">
        <f t="shared" si="4"/>
        <v>108.1008047</v>
      </c>
    </row>
    <row r="180" ht="12.0" customHeight="1">
      <c r="A180" s="55">
        <f>IF('長期'!A316="","",'長期'!A316)</f>
        <v>45027</v>
      </c>
      <c r="B180" s="40">
        <f t="shared" si="1"/>
        <v>118.5391953</v>
      </c>
      <c r="C180" s="40">
        <f t="shared" si="2"/>
        <v>115.9295977</v>
      </c>
      <c r="D180" s="40">
        <f>'長期'!D316</f>
        <v>115</v>
      </c>
      <c r="E180" s="40">
        <f t="shared" si="3"/>
        <v>110.7104023</v>
      </c>
      <c r="F180" s="40">
        <f t="shared" si="4"/>
        <v>108.1008047</v>
      </c>
    </row>
    <row r="181" ht="12.0" customHeight="1">
      <c r="A181" s="55">
        <f>IF('長期'!A315="","",'長期'!A315)</f>
        <v>45028</v>
      </c>
      <c r="B181" s="40">
        <f t="shared" si="1"/>
        <v>118.7103894</v>
      </c>
      <c r="C181" s="40">
        <f t="shared" si="2"/>
        <v>116.0351947</v>
      </c>
      <c r="D181" s="40">
        <f>'長期'!D315</f>
        <v>118</v>
      </c>
      <c r="E181" s="40">
        <f t="shared" si="3"/>
        <v>110.6848053</v>
      </c>
      <c r="F181" s="40">
        <f t="shared" si="4"/>
        <v>108.0096106</v>
      </c>
    </row>
    <row r="182" ht="12.0" customHeight="1">
      <c r="A182" s="55">
        <f>IF('長期'!A314="","",'長期'!A314)</f>
        <v>45029</v>
      </c>
      <c r="B182" s="40">
        <f t="shared" si="1"/>
        <v>118.7103894</v>
      </c>
      <c r="C182" s="40">
        <f t="shared" si="2"/>
        <v>116.0351947</v>
      </c>
      <c r="D182" s="40">
        <f>'長期'!D314</f>
        <v>117</v>
      </c>
      <c r="E182" s="40">
        <f t="shared" si="3"/>
        <v>110.6848053</v>
      </c>
      <c r="F182" s="40">
        <f t="shared" si="4"/>
        <v>108.0096106</v>
      </c>
    </row>
    <row r="183" ht="12.0" customHeight="1">
      <c r="A183" s="55">
        <f>IF('長期'!A313="","",'長期'!A313)</f>
        <v>45030</v>
      </c>
      <c r="B183" s="40">
        <f t="shared" si="1"/>
        <v>118.7103894</v>
      </c>
      <c r="C183" s="40">
        <f t="shared" si="2"/>
        <v>116.0351947</v>
      </c>
      <c r="D183" s="40">
        <f>'長期'!D313</f>
        <v>117</v>
      </c>
      <c r="E183" s="40">
        <f t="shared" si="3"/>
        <v>110.6848053</v>
      </c>
      <c r="F183" s="40">
        <f t="shared" si="4"/>
        <v>108.0096106</v>
      </c>
    </row>
    <row r="184" ht="12.0" customHeight="1">
      <c r="A184" s="55">
        <f>IF('長期'!A312="","",'長期'!A312)</f>
        <v>45033</v>
      </c>
      <c r="B184" s="40">
        <f t="shared" si="1"/>
        <v>118.665403</v>
      </c>
      <c r="C184" s="40">
        <f t="shared" si="2"/>
        <v>115.9927015</v>
      </c>
      <c r="D184" s="40">
        <f>'長期'!D312</f>
        <v>113</v>
      </c>
      <c r="E184" s="40">
        <f t="shared" si="3"/>
        <v>110.6472985</v>
      </c>
      <c r="F184" s="40">
        <f t="shared" si="4"/>
        <v>107.974597</v>
      </c>
    </row>
    <row r="185" ht="12.0" customHeight="1">
      <c r="A185" s="55">
        <f>IF('長期'!A311="","",'長期'!A311)</f>
        <v>45034</v>
      </c>
      <c r="B185" s="40">
        <f t="shared" si="1"/>
        <v>118.5563624</v>
      </c>
      <c r="C185" s="40">
        <f t="shared" si="2"/>
        <v>115.9181812</v>
      </c>
      <c r="D185" s="40">
        <f>'長期'!D311</f>
        <v>115</v>
      </c>
      <c r="E185" s="40">
        <f t="shared" si="3"/>
        <v>110.6418188</v>
      </c>
      <c r="F185" s="40">
        <f t="shared" si="4"/>
        <v>108.0036376</v>
      </c>
    </row>
    <row r="186" ht="12.0" customHeight="1">
      <c r="A186" s="55">
        <f>IF('長期'!A310="","",'長期'!A310)</f>
        <v>45035</v>
      </c>
      <c r="B186" s="40">
        <f t="shared" si="1"/>
        <v>118.9196594</v>
      </c>
      <c r="C186" s="40">
        <f t="shared" si="2"/>
        <v>116.1798297</v>
      </c>
      <c r="D186" s="40">
        <f>'長期'!D310</f>
        <v>117</v>
      </c>
      <c r="E186" s="40">
        <f t="shared" si="3"/>
        <v>110.7001703</v>
      </c>
      <c r="F186" s="40">
        <f t="shared" si="4"/>
        <v>107.9603406</v>
      </c>
    </row>
    <row r="187" ht="12.0" customHeight="1">
      <c r="A187" s="55">
        <f>IF('長期'!A309="","",'長期'!A309)</f>
        <v>45036</v>
      </c>
      <c r="B187" s="40">
        <f t="shared" si="1"/>
        <v>118.9703822</v>
      </c>
      <c r="C187" s="40">
        <f t="shared" si="2"/>
        <v>116.2451911</v>
      </c>
      <c r="D187" s="40">
        <f>'長期'!D309</f>
        <v>114</v>
      </c>
      <c r="E187" s="40">
        <f t="shared" si="3"/>
        <v>110.7948089</v>
      </c>
      <c r="F187" s="40">
        <f t="shared" si="4"/>
        <v>108.0696178</v>
      </c>
    </row>
    <row r="188" ht="12.0" customHeight="1">
      <c r="A188" s="55">
        <f>IF('長期'!A308="","",'長期'!A308)</f>
        <v>45037</v>
      </c>
      <c r="B188" s="40">
        <f t="shared" si="1"/>
        <v>118.835988</v>
      </c>
      <c r="C188" s="40">
        <f t="shared" si="2"/>
        <v>116.277994</v>
      </c>
      <c r="D188" s="40">
        <f>'長期'!D308</f>
        <v>114</v>
      </c>
      <c r="E188" s="40">
        <f t="shared" si="3"/>
        <v>111.162006</v>
      </c>
      <c r="F188" s="40">
        <f t="shared" si="4"/>
        <v>108.604012</v>
      </c>
    </row>
    <row r="189" ht="12.0" customHeight="1">
      <c r="A189" s="55">
        <f>IF('長期'!A307="","",'長期'!A307)</f>
        <v>45040</v>
      </c>
      <c r="B189" s="40">
        <f t="shared" si="1"/>
        <v>118.8349329</v>
      </c>
      <c r="C189" s="40">
        <f t="shared" si="2"/>
        <v>116.2574665</v>
      </c>
      <c r="D189" s="40">
        <f>'長期'!D307</f>
        <v>112</v>
      </c>
      <c r="E189" s="40">
        <f t="shared" si="3"/>
        <v>111.1025335</v>
      </c>
      <c r="F189" s="40">
        <f t="shared" si="4"/>
        <v>108.5250671</v>
      </c>
    </row>
    <row r="190" ht="12.0" customHeight="1">
      <c r="A190" s="55">
        <f>IF('長期'!A306="","",'長期'!A306)</f>
        <v>45041</v>
      </c>
      <c r="B190" s="40">
        <f t="shared" si="1"/>
        <v>118.8349329</v>
      </c>
      <c r="C190" s="40">
        <f t="shared" si="2"/>
        <v>116.2574665</v>
      </c>
      <c r="D190" s="40">
        <f>'長期'!D306</f>
        <v>111</v>
      </c>
      <c r="E190" s="40">
        <f t="shared" si="3"/>
        <v>111.1025335</v>
      </c>
      <c r="F190" s="40">
        <f t="shared" si="4"/>
        <v>108.5250671</v>
      </c>
    </row>
    <row r="191" ht="12.0" customHeight="1">
      <c r="A191" s="55">
        <f>IF('長期'!A305="","",'長期'!A305)</f>
        <v>45042</v>
      </c>
      <c r="B191" s="40">
        <f t="shared" si="1"/>
        <v>118.8349329</v>
      </c>
      <c r="C191" s="40">
        <f t="shared" si="2"/>
        <v>116.2574665</v>
      </c>
      <c r="D191" s="40">
        <f>'長期'!D305</f>
        <v>110</v>
      </c>
      <c r="E191" s="40">
        <f t="shared" si="3"/>
        <v>111.1025335</v>
      </c>
      <c r="F191" s="40">
        <f t="shared" si="4"/>
        <v>108.5250671</v>
      </c>
    </row>
    <row r="192" ht="12.0" customHeight="1">
      <c r="A192" s="55">
        <f>IF('長期'!A304="","",'長期'!A304)</f>
        <v>45043</v>
      </c>
      <c r="B192" s="40">
        <f t="shared" si="1"/>
        <v>118.7373034</v>
      </c>
      <c r="C192" s="40">
        <f t="shared" si="2"/>
        <v>116.2286517</v>
      </c>
      <c r="D192" s="40">
        <f>'長期'!D304</f>
        <v>110</v>
      </c>
      <c r="E192" s="40">
        <f t="shared" si="3"/>
        <v>111.2113483</v>
      </c>
      <c r="F192" s="40">
        <f t="shared" si="4"/>
        <v>108.7026966</v>
      </c>
    </row>
    <row r="193" ht="12.0" customHeight="1">
      <c r="A193" s="55">
        <f>IF('長期'!A303="","",'長期'!A303)</f>
        <v>45044</v>
      </c>
      <c r="B193" s="40">
        <f t="shared" si="1"/>
        <v>118.6246978</v>
      </c>
      <c r="C193" s="40">
        <f t="shared" si="2"/>
        <v>116.2323489</v>
      </c>
      <c r="D193" s="40">
        <f>'長期'!D303</f>
        <v>113</v>
      </c>
      <c r="E193" s="40">
        <f t="shared" si="3"/>
        <v>111.4476511</v>
      </c>
      <c r="F193" s="40">
        <f t="shared" si="4"/>
        <v>109.0553022</v>
      </c>
    </row>
    <row r="194" ht="12.0" customHeight="1">
      <c r="A194" s="55">
        <f>IF('長期'!A302="","",'長期'!A302)</f>
        <v>45047</v>
      </c>
      <c r="B194" s="40">
        <f t="shared" si="1"/>
        <v>118.6596652</v>
      </c>
      <c r="C194" s="40">
        <f t="shared" si="2"/>
        <v>116.3698326</v>
      </c>
      <c r="D194" s="40">
        <f>'長期'!D302</f>
        <v>116</v>
      </c>
      <c r="E194" s="40">
        <f t="shared" si="3"/>
        <v>111.7901674</v>
      </c>
      <c r="F194" s="40">
        <f t="shared" si="4"/>
        <v>109.5003348</v>
      </c>
    </row>
    <row r="195" ht="12.0" customHeight="1">
      <c r="A195" s="55">
        <f>IF('長期'!A301="","",'長期'!A301)</f>
        <v>45048</v>
      </c>
      <c r="B195" s="40">
        <f t="shared" si="1"/>
        <v>118.8032747</v>
      </c>
      <c r="C195" s="40">
        <f t="shared" si="2"/>
        <v>116.4816374</v>
      </c>
      <c r="D195" s="40">
        <f>'長期'!D301</f>
        <v>116</v>
      </c>
      <c r="E195" s="40">
        <f t="shared" si="3"/>
        <v>111.8383626</v>
      </c>
      <c r="F195" s="40">
        <f t="shared" si="4"/>
        <v>109.5167253</v>
      </c>
    </row>
    <row r="196" ht="12.0" customHeight="1">
      <c r="A196" s="55">
        <f>IF('長期'!A300="","",'長期'!A300)</f>
        <v>45054</v>
      </c>
      <c r="B196" s="40">
        <f t="shared" si="1"/>
        <v>118.8032747</v>
      </c>
      <c r="C196" s="40">
        <f t="shared" si="2"/>
        <v>116.4816374</v>
      </c>
      <c r="D196" s="40">
        <f>'長期'!D300</f>
        <v>114</v>
      </c>
      <c r="E196" s="40">
        <f t="shared" si="3"/>
        <v>111.8383626</v>
      </c>
      <c r="F196" s="40">
        <f t="shared" si="4"/>
        <v>109.5167253</v>
      </c>
    </row>
    <row r="197" ht="12.0" customHeight="1">
      <c r="A197" s="55">
        <f>IF('長期'!A299="","",'長期'!A299)</f>
        <v>45055</v>
      </c>
      <c r="B197" s="40">
        <f t="shared" si="1"/>
        <v>118.5236243</v>
      </c>
      <c r="C197" s="40">
        <f t="shared" si="2"/>
        <v>116.2418121</v>
      </c>
      <c r="D197" s="40">
        <f>'長期'!D299</f>
        <v>112</v>
      </c>
      <c r="E197" s="40">
        <f t="shared" si="3"/>
        <v>111.6781879</v>
      </c>
      <c r="F197" s="40">
        <f t="shared" si="4"/>
        <v>109.3963757</v>
      </c>
    </row>
    <row r="198" ht="12.0" customHeight="1">
      <c r="A198" s="55">
        <f>IF('長期'!A298="","",'長期'!A298)</f>
        <v>45056</v>
      </c>
      <c r="B198" s="40">
        <f t="shared" si="1"/>
        <v>118.3888948</v>
      </c>
      <c r="C198" s="40">
        <f t="shared" si="2"/>
        <v>116.0744474</v>
      </c>
      <c r="D198" s="40">
        <f>'長期'!D298</f>
        <v>111</v>
      </c>
      <c r="E198" s="40">
        <f t="shared" si="3"/>
        <v>111.4455526</v>
      </c>
      <c r="F198" s="40">
        <f t="shared" si="4"/>
        <v>109.1311052</v>
      </c>
    </row>
    <row r="199" ht="12.0" customHeight="1">
      <c r="A199" s="55">
        <f>IF('長期'!A297="","",'長期'!A297)</f>
        <v>45057</v>
      </c>
      <c r="B199" s="40">
        <f t="shared" si="1"/>
        <v>118.2176103</v>
      </c>
      <c r="C199" s="40">
        <f t="shared" si="2"/>
        <v>115.8888051</v>
      </c>
      <c r="D199" s="40">
        <f>'長期'!D297</f>
        <v>111</v>
      </c>
      <c r="E199" s="40">
        <f t="shared" si="3"/>
        <v>111.2311949</v>
      </c>
      <c r="F199" s="40">
        <f t="shared" si="4"/>
        <v>108.9023897</v>
      </c>
    </row>
    <row r="200" ht="12.0" customHeight="1">
      <c r="A200" s="55">
        <f>IF('長期'!A296="","",'長期'!A296)</f>
        <v>45058</v>
      </c>
      <c r="B200" s="40">
        <f t="shared" si="1"/>
        <v>118.1746778</v>
      </c>
      <c r="C200" s="40">
        <f t="shared" si="2"/>
        <v>115.8273389</v>
      </c>
      <c r="D200" s="40">
        <f>'長期'!D296</f>
        <v>112</v>
      </c>
      <c r="E200" s="40">
        <f t="shared" si="3"/>
        <v>111.1326611</v>
      </c>
      <c r="F200" s="40">
        <f t="shared" si="4"/>
        <v>108.7853222</v>
      </c>
    </row>
    <row r="201" ht="12.0" customHeight="1">
      <c r="A201" s="55">
        <f>IF('長期'!A295="","",'長期'!A295)</f>
        <v>45061</v>
      </c>
      <c r="B201" s="40">
        <f t="shared" si="1"/>
        <v>118.2648398</v>
      </c>
      <c r="C201" s="40">
        <f t="shared" si="2"/>
        <v>115.8324199</v>
      </c>
      <c r="D201" s="40">
        <f>'長期'!D295</f>
        <v>110</v>
      </c>
      <c r="E201" s="40">
        <f t="shared" si="3"/>
        <v>110.9675801</v>
      </c>
      <c r="F201" s="40">
        <f t="shared" si="4"/>
        <v>108.5351602</v>
      </c>
    </row>
    <row r="202" ht="12.0" customHeight="1">
      <c r="A202" s="55">
        <f>IF('長期'!A294="","",'長期'!A294)</f>
        <v>45062</v>
      </c>
      <c r="B202" s="40">
        <f t="shared" si="1"/>
        <v>118.3439427</v>
      </c>
      <c r="C202" s="40">
        <f t="shared" si="2"/>
        <v>115.8319713</v>
      </c>
      <c r="D202" s="40">
        <f>'長期'!D294</f>
        <v>110</v>
      </c>
      <c r="E202" s="40">
        <f t="shared" si="3"/>
        <v>110.8080287</v>
      </c>
      <c r="F202" s="40">
        <f t="shared" si="4"/>
        <v>108.2960573</v>
      </c>
    </row>
    <row r="203" ht="12.0" customHeight="1">
      <c r="A203" s="55">
        <f>IF('長期'!A293="","",'長期'!A293)</f>
        <v>45063</v>
      </c>
      <c r="B203" s="40">
        <f t="shared" si="1"/>
        <v>118.4915026</v>
      </c>
      <c r="C203" s="40">
        <f t="shared" si="2"/>
        <v>115.8457513</v>
      </c>
      <c r="D203" s="40">
        <f>'長期'!D293</f>
        <v>109</v>
      </c>
      <c r="E203" s="40">
        <f t="shared" si="3"/>
        <v>110.5542487</v>
      </c>
      <c r="F203" s="40">
        <f t="shared" si="4"/>
        <v>107.9084974</v>
      </c>
    </row>
    <row r="204" ht="12.0" customHeight="1">
      <c r="A204" s="55">
        <f>IF('長期'!A292="","",'長期'!A292)</f>
        <v>45064</v>
      </c>
      <c r="B204" s="40">
        <f t="shared" si="1"/>
        <v>118.8046557</v>
      </c>
      <c r="C204" s="40">
        <f t="shared" si="2"/>
        <v>115.8823278</v>
      </c>
      <c r="D204" s="40">
        <f>'長期'!D292</f>
        <v>107</v>
      </c>
      <c r="E204" s="40">
        <f t="shared" si="3"/>
        <v>110.0376722</v>
      </c>
      <c r="F204" s="40">
        <f t="shared" si="4"/>
        <v>107.1153443</v>
      </c>
    </row>
    <row r="205" ht="12.0" customHeight="1">
      <c r="A205" s="55">
        <f>IF('長期'!A291="","",'長期'!A291)</f>
        <v>45065</v>
      </c>
      <c r="B205" s="40">
        <f t="shared" si="1"/>
        <v>119.1448311</v>
      </c>
      <c r="C205" s="40">
        <f t="shared" si="2"/>
        <v>115.8524155</v>
      </c>
      <c r="D205" s="40">
        <f>'長期'!D291</f>
        <v>105</v>
      </c>
      <c r="E205" s="40">
        <f t="shared" si="3"/>
        <v>109.2675845</v>
      </c>
      <c r="F205" s="40">
        <f t="shared" si="4"/>
        <v>105.9751689</v>
      </c>
    </row>
    <row r="206" ht="12.0" customHeight="1">
      <c r="A206" s="55">
        <f>IF('長期'!A290="","",'長期'!A290)</f>
        <v>45068</v>
      </c>
      <c r="B206" s="40">
        <f t="shared" si="1"/>
        <v>118.5245553</v>
      </c>
      <c r="C206" s="40">
        <f t="shared" si="2"/>
        <v>115.3622777</v>
      </c>
      <c r="D206" s="40">
        <f>'長期'!D290</f>
        <v>109</v>
      </c>
      <c r="E206" s="40">
        <f t="shared" si="3"/>
        <v>109.0377223</v>
      </c>
      <c r="F206" s="40">
        <f t="shared" si="4"/>
        <v>105.8754447</v>
      </c>
    </row>
    <row r="207" ht="12.0" customHeight="1">
      <c r="A207" s="55">
        <f>IF('長期'!A289="","",'長期'!A289)</f>
        <v>45069</v>
      </c>
      <c r="B207" s="40">
        <f t="shared" si="1"/>
        <v>118.3411781</v>
      </c>
      <c r="C207" s="40">
        <f t="shared" si="2"/>
        <v>115.0305891</v>
      </c>
      <c r="D207" s="40">
        <f>'長期'!D289</f>
        <v>105</v>
      </c>
      <c r="E207" s="40">
        <f t="shared" si="3"/>
        <v>108.4094109</v>
      </c>
      <c r="F207" s="40">
        <f t="shared" si="4"/>
        <v>105.0988219</v>
      </c>
    </row>
    <row r="208" ht="12.0" customHeight="1">
      <c r="A208" s="55">
        <f>IF('長期'!A288="","",'長期'!A288)</f>
        <v>45070</v>
      </c>
      <c r="B208" s="40">
        <f t="shared" si="1"/>
        <v>117.9011781</v>
      </c>
      <c r="C208" s="40">
        <f t="shared" si="2"/>
        <v>114.5905891</v>
      </c>
      <c r="D208" s="40">
        <f>'長期'!D288</f>
        <v>106</v>
      </c>
      <c r="E208" s="40">
        <f t="shared" si="3"/>
        <v>107.9694109</v>
      </c>
      <c r="F208" s="40">
        <f t="shared" si="4"/>
        <v>104.6588219</v>
      </c>
    </row>
    <row r="209" ht="12.0" customHeight="1">
      <c r="A209" s="55">
        <f>IF('長期'!A287="","",'長期'!A287)</f>
        <v>45071</v>
      </c>
      <c r="B209" s="40">
        <f t="shared" si="1"/>
        <v>117.9951498</v>
      </c>
      <c r="C209" s="40">
        <f t="shared" si="2"/>
        <v>114.4775749</v>
      </c>
      <c r="D209" s="40">
        <f>'長期'!D287</f>
        <v>105</v>
      </c>
      <c r="E209" s="40">
        <f t="shared" si="3"/>
        <v>107.4424251</v>
      </c>
      <c r="F209" s="40">
        <f t="shared" si="4"/>
        <v>103.9248502</v>
      </c>
    </row>
    <row r="210" ht="12.0" customHeight="1">
      <c r="A210" s="55">
        <f>IF('長期'!A286="","",'長期'!A286)</f>
        <v>45072</v>
      </c>
      <c r="B210" s="40">
        <f t="shared" si="1"/>
        <v>117.8711904</v>
      </c>
      <c r="C210" s="40">
        <f t="shared" si="2"/>
        <v>114.1955952</v>
      </c>
      <c r="D210" s="40">
        <f>'長期'!D286</f>
        <v>104</v>
      </c>
      <c r="E210" s="40">
        <f t="shared" si="3"/>
        <v>106.8444048</v>
      </c>
      <c r="F210" s="40">
        <f t="shared" si="4"/>
        <v>103.1688096</v>
      </c>
    </row>
    <row r="211" ht="12.0" customHeight="1">
      <c r="A211" s="55">
        <f>IF('長期'!A285="","",'長期'!A285)</f>
        <v>45075</v>
      </c>
      <c r="B211" s="40">
        <f t="shared" si="1"/>
        <v>117.1931361</v>
      </c>
      <c r="C211" s="40">
        <f t="shared" si="2"/>
        <v>113.7565681</v>
      </c>
      <c r="D211" s="40">
        <f>'長期'!D285</f>
        <v>112</v>
      </c>
      <c r="E211" s="40">
        <f t="shared" si="3"/>
        <v>106.8834319</v>
      </c>
      <c r="F211" s="40">
        <f t="shared" si="4"/>
        <v>103.4468639</v>
      </c>
    </row>
    <row r="212" ht="12.0" customHeight="1">
      <c r="A212" s="55">
        <f>IF('長期'!A284="","",'長期'!A284)</f>
        <v>45076</v>
      </c>
      <c r="B212" s="40">
        <f t="shared" si="1"/>
        <v>117.4945989</v>
      </c>
      <c r="C212" s="40">
        <f t="shared" si="2"/>
        <v>113.9472994</v>
      </c>
      <c r="D212" s="40">
        <f>'長期'!D284</f>
        <v>116</v>
      </c>
      <c r="E212" s="40">
        <f t="shared" si="3"/>
        <v>106.8527006</v>
      </c>
      <c r="F212" s="40">
        <f t="shared" si="4"/>
        <v>103.3054011</v>
      </c>
    </row>
    <row r="213" ht="12.0" customHeight="1">
      <c r="A213" s="55">
        <f>IF('長期'!A283="","",'長期'!A283)</f>
        <v>45077</v>
      </c>
      <c r="B213" s="40">
        <f t="shared" si="1"/>
        <v>117.6298076</v>
      </c>
      <c r="C213" s="40">
        <f t="shared" si="2"/>
        <v>114.0349038</v>
      </c>
      <c r="D213" s="40">
        <f>'長期'!D283</f>
        <v>115</v>
      </c>
      <c r="E213" s="40">
        <f t="shared" si="3"/>
        <v>106.8450962</v>
      </c>
      <c r="F213" s="40">
        <f t="shared" si="4"/>
        <v>103.2501924</v>
      </c>
    </row>
    <row r="214" ht="12.0" customHeight="1">
      <c r="A214" s="55">
        <f>IF('長期'!A282="","",'長期'!A282)</f>
        <v>45078</v>
      </c>
      <c r="B214" s="40">
        <f t="shared" si="1"/>
        <v>117.8257055</v>
      </c>
      <c r="C214" s="40">
        <f t="shared" si="2"/>
        <v>114.1728528</v>
      </c>
      <c r="D214" s="40">
        <f>'長期'!D282</f>
        <v>114</v>
      </c>
      <c r="E214" s="40">
        <f t="shared" si="3"/>
        <v>106.8671472</v>
      </c>
      <c r="F214" s="40">
        <f t="shared" si="4"/>
        <v>103.2142945</v>
      </c>
    </row>
    <row r="215" ht="12.0" customHeight="1">
      <c r="A215" s="55">
        <f>IF('長期'!A281="","",'長期'!A281)</f>
        <v>45079</v>
      </c>
      <c r="B215" s="40">
        <f t="shared" si="1"/>
        <v>117.9711148</v>
      </c>
      <c r="C215" s="40">
        <f t="shared" si="2"/>
        <v>114.2855574</v>
      </c>
      <c r="D215" s="40">
        <f>'長期'!D281</f>
        <v>113</v>
      </c>
      <c r="E215" s="40">
        <f t="shared" si="3"/>
        <v>106.9144426</v>
      </c>
      <c r="F215" s="40">
        <f t="shared" si="4"/>
        <v>103.2288852</v>
      </c>
    </row>
    <row r="216" ht="12.0" customHeight="1">
      <c r="A216" s="55">
        <f>IF('長期'!A280="","",'長期'!A280)</f>
        <v>45082</v>
      </c>
      <c r="B216" s="40">
        <f t="shared" si="1"/>
        <v>118.3718778</v>
      </c>
      <c r="C216" s="40">
        <f t="shared" si="2"/>
        <v>114.5859389</v>
      </c>
      <c r="D216" s="40">
        <f>'長期'!D280</f>
        <v>115</v>
      </c>
      <c r="E216" s="40">
        <f t="shared" si="3"/>
        <v>107.0140611</v>
      </c>
      <c r="F216" s="40">
        <f t="shared" si="4"/>
        <v>103.2281222</v>
      </c>
    </row>
    <row r="217" ht="12.0" customHeight="1">
      <c r="A217" s="55">
        <f>IF('長期'!A279="","",'長期'!A279)</f>
        <v>45083</v>
      </c>
      <c r="B217" s="40">
        <f t="shared" si="1"/>
        <v>118.5340222</v>
      </c>
      <c r="C217" s="40">
        <f t="shared" si="2"/>
        <v>114.7270111</v>
      </c>
      <c r="D217" s="40">
        <f>'長期'!D279</f>
        <v>113</v>
      </c>
      <c r="E217" s="40">
        <f t="shared" si="3"/>
        <v>107.1129889</v>
      </c>
      <c r="F217" s="40">
        <f t="shared" si="4"/>
        <v>103.3059778</v>
      </c>
    </row>
    <row r="218" ht="12.0" customHeight="1">
      <c r="A218" s="55">
        <f>IF('長期'!A278="","",'長期'!A278)</f>
        <v>45084</v>
      </c>
      <c r="B218" s="40">
        <f t="shared" si="1"/>
        <v>118.6298544</v>
      </c>
      <c r="C218" s="40">
        <f t="shared" si="2"/>
        <v>114.7949272</v>
      </c>
      <c r="D218" s="40">
        <f>'長期'!D278</f>
        <v>114</v>
      </c>
      <c r="E218" s="40">
        <f t="shared" si="3"/>
        <v>107.1250728</v>
      </c>
      <c r="F218" s="40">
        <f t="shared" si="4"/>
        <v>103.2901456</v>
      </c>
    </row>
    <row r="219" ht="12.0" customHeight="1">
      <c r="A219" s="55">
        <f>IF('長期'!A277="","",'長期'!A277)</f>
        <v>45085</v>
      </c>
      <c r="B219" s="40">
        <f t="shared" si="1"/>
        <v>118.102863</v>
      </c>
      <c r="C219" s="40">
        <f t="shared" si="2"/>
        <v>114.4114315</v>
      </c>
      <c r="D219" s="40">
        <f>'長期'!D277</f>
        <v>110</v>
      </c>
      <c r="E219" s="40">
        <f t="shared" si="3"/>
        <v>107.0285685</v>
      </c>
      <c r="F219" s="40">
        <f t="shared" si="4"/>
        <v>103.337137</v>
      </c>
    </row>
    <row r="220" ht="12.0" customHeight="1">
      <c r="A220" s="55">
        <f>IF('長期'!A276="","",'長期'!A276)</f>
        <v>45086</v>
      </c>
      <c r="B220" s="40">
        <f t="shared" si="1"/>
        <v>117.6329532</v>
      </c>
      <c r="C220" s="40">
        <f t="shared" si="2"/>
        <v>114.0964766</v>
      </c>
      <c r="D220" s="40">
        <f>'長期'!D276</f>
        <v>112</v>
      </c>
      <c r="E220" s="40">
        <f t="shared" si="3"/>
        <v>107.0235234</v>
      </c>
      <c r="F220" s="40">
        <f t="shared" si="4"/>
        <v>103.4870468</v>
      </c>
    </row>
    <row r="221" ht="12.0" customHeight="1">
      <c r="A221" s="55">
        <f>IF('長期'!A275="","",'長期'!A275)</f>
        <v>45089</v>
      </c>
      <c r="B221" s="40">
        <f t="shared" si="1"/>
        <v>117.6329532</v>
      </c>
      <c r="C221" s="40">
        <f t="shared" si="2"/>
        <v>114.0964766</v>
      </c>
      <c r="D221" s="40">
        <f>'長期'!D275</f>
        <v>114</v>
      </c>
      <c r="E221" s="40">
        <f t="shared" si="3"/>
        <v>107.0235234</v>
      </c>
      <c r="F221" s="40">
        <f t="shared" si="4"/>
        <v>103.4870468</v>
      </c>
    </row>
    <row r="222" ht="12.0" customHeight="1">
      <c r="A222" s="55">
        <f>IF('長期'!A274="","",'長期'!A274)</f>
        <v>45090</v>
      </c>
      <c r="B222" s="40">
        <f t="shared" si="1"/>
        <v>118.102863</v>
      </c>
      <c r="C222" s="40">
        <f t="shared" si="2"/>
        <v>114.4114315</v>
      </c>
      <c r="D222" s="40">
        <f>'長期'!D274</f>
        <v>116</v>
      </c>
      <c r="E222" s="40">
        <f t="shared" si="3"/>
        <v>107.0285685</v>
      </c>
      <c r="F222" s="40">
        <f t="shared" si="4"/>
        <v>103.337137</v>
      </c>
    </row>
    <row r="223" ht="12.0" customHeight="1">
      <c r="A223" s="55">
        <f>IF('長期'!A273="","",'長期'!A273)</f>
        <v>45091</v>
      </c>
      <c r="B223" s="40">
        <f t="shared" si="1"/>
        <v>118.3384443</v>
      </c>
      <c r="C223" s="40">
        <f t="shared" si="2"/>
        <v>114.5892221</v>
      </c>
      <c r="D223" s="40">
        <f>'長期'!D273</f>
        <v>114</v>
      </c>
      <c r="E223" s="40">
        <f t="shared" si="3"/>
        <v>107.0907779</v>
      </c>
      <c r="F223" s="40">
        <f t="shared" si="4"/>
        <v>103.3415557</v>
      </c>
    </row>
    <row r="224" ht="12.0" customHeight="1">
      <c r="A224" s="55">
        <f>IF('長期'!A272="","",'長期'!A272)</f>
        <v>45092</v>
      </c>
      <c r="B224" s="40">
        <f t="shared" si="1"/>
        <v>118.3384443</v>
      </c>
      <c r="C224" s="40">
        <f t="shared" si="2"/>
        <v>114.5892221</v>
      </c>
      <c r="D224" s="40">
        <f>'長期'!D272</f>
        <v>111</v>
      </c>
      <c r="E224" s="40">
        <f t="shared" si="3"/>
        <v>107.0907779</v>
      </c>
      <c r="F224" s="40">
        <f t="shared" si="4"/>
        <v>103.3415557</v>
      </c>
    </row>
    <row r="225" ht="12.0" customHeight="1">
      <c r="A225" s="55">
        <f>IF('長期'!A271="","",'長期'!A271)</f>
        <v>45093</v>
      </c>
      <c r="B225" s="40">
        <f t="shared" si="1"/>
        <v>120.7564532</v>
      </c>
      <c r="C225" s="40">
        <f t="shared" si="2"/>
        <v>116.0582266</v>
      </c>
      <c r="D225" s="40">
        <f>'長期'!D271</f>
        <v>125</v>
      </c>
      <c r="E225" s="40">
        <f t="shared" si="3"/>
        <v>106.6617734</v>
      </c>
      <c r="F225" s="40">
        <f t="shared" si="4"/>
        <v>101.9635468</v>
      </c>
    </row>
    <row r="226" ht="12.0" customHeight="1">
      <c r="A226" s="55">
        <f>IF('長期'!A270="","",'長期'!A270)</f>
        <v>45096</v>
      </c>
      <c r="B226" s="40">
        <f t="shared" si="1"/>
        <v>125.6626313</v>
      </c>
      <c r="C226" s="40">
        <f t="shared" si="2"/>
        <v>119.0113157</v>
      </c>
      <c r="D226" s="40">
        <f>'長期'!D270</f>
        <v>135</v>
      </c>
      <c r="E226" s="40">
        <f t="shared" si="3"/>
        <v>105.7086843</v>
      </c>
      <c r="F226" s="40">
        <f t="shared" si="4"/>
        <v>99.05736868</v>
      </c>
    </row>
    <row r="227" ht="12.0" customHeight="1">
      <c r="A227" s="55">
        <f>IF('長期'!A269="","",'長期'!A269)</f>
        <v>45097</v>
      </c>
      <c r="B227" s="40">
        <f t="shared" si="1"/>
        <v>126.9665891</v>
      </c>
      <c r="C227" s="40">
        <f t="shared" si="2"/>
        <v>119.9432946</v>
      </c>
      <c r="D227" s="40">
        <f>'長期'!D269</f>
        <v>124</v>
      </c>
      <c r="E227" s="40">
        <f t="shared" si="3"/>
        <v>105.8967054</v>
      </c>
      <c r="F227" s="40">
        <f t="shared" si="4"/>
        <v>98.87341085</v>
      </c>
    </row>
    <row r="228" ht="12.0" customHeight="1">
      <c r="A228" s="55">
        <f>IF('長期'!A268="","",'長期'!A268)</f>
        <v>45098</v>
      </c>
      <c r="B228" s="40">
        <f t="shared" si="1"/>
        <v>128.6608744</v>
      </c>
      <c r="C228" s="40">
        <f t="shared" si="2"/>
        <v>121.1504372</v>
      </c>
      <c r="D228" s="40">
        <f>'長期'!D268</f>
        <v>127</v>
      </c>
      <c r="E228" s="40">
        <f t="shared" si="3"/>
        <v>106.1295628</v>
      </c>
      <c r="F228" s="40">
        <f t="shared" si="4"/>
        <v>98.61912564</v>
      </c>
    </row>
    <row r="229" ht="12.0" customHeight="1">
      <c r="A229" s="55">
        <f>IF('長期'!A267="","",'長期'!A267)</f>
        <v>45099</v>
      </c>
      <c r="B229" s="40">
        <f t="shared" si="1"/>
        <v>129.9349069</v>
      </c>
      <c r="C229" s="40">
        <f t="shared" si="2"/>
        <v>122.1674535</v>
      </c>
      <c r="D229" s="40">
        <f>'長期'!D267</f>
        <v>126</v>
      </c>
      <c r="E229" s="40">
        <f t="shared" si="3"/>
        <v>106.6325465</v>
      </c>
      <c r="F229" s="40">
        <f t="shared" si="4"/>
        <v>98.86509307</v>
      </c>
    </row>
    <row r="230" ht="12.0" customHeight="1">
      <c r="A230" s="55">
        <f>IF('長期'!A266="","",'長期'!A266)</f>
        <v>45100</v>
      </c>
      <c r="B230" s="40">
        <f t="shared" si="1"/>
        <v>131.0863278</v>
      </c>
      <c r="C230" s="40">
        <f t="shared" si="2"/>
        <v>123.1831639</v>
      </c>
      <c r="D230" s="40">
        <f>'長期'!D266</f>
        <v>127</v>
      </c>
      <c r="E230" s="40">
        <f t="shared" si="3"/>
        <v>107.3768361</v>
      </c>
      <c r="F230" s="40">
        <f t="shared" si="4"/>
        <v>99.47367215</v>
      </c>
    </row>
    <row r="231" ht="12.0" customHeight="1">
      <c r="A231" s="55">
        <f>IF('長期'!A265="","",'長期'!A265)</f>
        <v>45103</v>
      </c>
      <c r="B231" s="40">
        <f t="shared" si="1"/>
        <v>131.7111478</v>
      </c>
      <c r="C231" s="40">
        <f t="shared" si="2"/>
        <v>123.7755739</v>
      </c>
      <c r="D231" s="40">
        <f>'長期'!D265</f>
        <v>123</v>
      </c>
      <c r="E231" s="40">
        <f t="shared" si="3"/>
        <v>107.9044261</v>
      </c>
      <c r="F231" s="40">
        <f t="shared" si="4"/>
        <v>99.96885217</v>
      </c>
    </row>
    <row r="232" ht="12.0" customHeight="1">
      <c r="A232" s="55">
        <f>IF('長期'!A264="","",'長期'!A264)</f>
        <v>45104</v>
      </c>
      <c r="B232" s="40">
        <f t="shared" si="1"/>
        <v>131.5902331</v>
      </c>
      <c r="C232" s="40">
        <f t="shared" si="2"/>
        <v>123.9751165</v>
      </c>
      <c r="D232" s="40">
        <f>'長期'!D264</f>
        <v>118</v>
      </c>
      <c r="E232" s="40">
        <f t="shared" si="3"/>
        <v>108.7448835</v>
      </c>
      <c r="F232" s="40">
        <f t="shared" si="4"/>
        <v>101.1297669</v>
      </c>
    </row>
    <row r="233" ht="12.0" customHeight="1">
      <c r="A233" s="55">
        <f>IF('長期'!A263="","",'長期'!A263)</f>
        <v>45105</v>
      </c>
      <c r="B233" s="40">
        <f t="shared" si="1"/>
        <v>131.5819689</v>
      </c>
      <c r="C233" s="40">
        <f t="shared" si="2"/>
        <v>124.2509845</v>
      </c>
      <c r="D233" s="40">
        <f>'長期'!D263</f>
        <v>120</v>
      </c>
      <c r="E233" s="40">
        <f t="shared" si="3"/>
        <v>109.5890155</v>
      </c>
      <c r="F233" s="40">
        <f t="shared" si="4"/>
        <v>102.2580311</v>
      </c>
    </row>
    <row r="234" ht="12.0" customHeight="1">
      <c r="A234" s="55">
        <f>IF('長期'!A262="","",'長期'!A262)</f>
        <v>45106</v>
      </c>
      <c r="B234" s="40">
        <f t="shared" si="1"/>
        <v>131.7242159</v>
      </c>
      <c r="C234" s="40">
        <f t="shared" si="2"/>
        <v>124.7021079</v>
      </c>
      <c r="D234" s="40">
        <f>'長期'!D262</f>
        <v>124</v>
      </c>
      <c r="E234" s="40">
        <f t="shared" si="3"/>
        <v>110.6578921</v>
      </c>
      <c r="F234" s="40">
        <f t="shared" si="4"/>
        <v>103.6357841</v>
      </c>
    </row>
    <row r="235" ht="12.0" customHeight="1">
      <c r="A235" s="55">
        <f>IF('長期'!A261="","",'長期'!A261)</f>
        <v>45107</v>
      </c>
      <c r="B235" s="40">
        <f t="shared" si="1"/>
        <v>131.322848</v>
      </c>
      <c r="C235" s="40">
        <f t="shared" si="2"/>
        <v>124.861424</v>
      </c>
      <c r="D235" s="40">
        <f>'長期'!D261</f>
        <v>122</v>
      </c>
      <c r="E235" s="40">
        <f t="shared" si="3"/>
        <v>111.938576</v>
      </c>
      <c r="F235" s="40">
        <f t="shared" si="4"/>
        <v>105.477152</v>
      </c>
    </row>
    <row r="236" ht="12.0" customHeight="1">
      <c r="A236" s="55">
        <f>IF('長期'!A260="","",'長期'!A260)</f>
        <v>45110</v>
      </c>
      <c r="B236" s="40">
        <f t="shared" si="1"/>
        <v>131.5148207</v>
      </c>
      <c r="C236" s="40">
        <f t="shared" si="2"/>
        <v>125.1574104</v>
      </c>
      <c r="D236" s="40">
        <f>'長期'!D260</f>
        <v>122</v>
      </c>
      <c r="E236" s="40">
        <f t="shared" si="3"/>
        <v>112.4425896</v>
      </c>
      <c r="F236" s="40">
        <f t="shared" si="4"/>
        <v>106.0851793</v>
      </c>
    </row>
    <row r="237" ht="12.0" customHeight="1">
      <c r="A237" s="55">
        <f>IF('長期'!A259="","",'長期'!A259)</f>
        <v>45111</v>
      </c>
      <c r="B237" s="40">
        <f t="shared" si="1"/>
        <v>132.0528921</v>
      </c>
      <c r="C237" s="40">
        <f t="shared" si="2"/>
        <v>125.606446</v>
      </c>
      <c r="D237" s="40">
        <f>'長期'!D259</f>
        <v>125</v>
      </c>
      <c r="E237" s="40">
        <f t="shared" si="3"/>
        <v>112.713554</v>
      </c>
      <c r="F237" s="40">
        <f t="shared" si="4"/>
        <v>106.2671079</v>
      </c>
    </row>
    <row r="238" ht="12.0" customHeight="1">
      <c r="A238" s="55">
        <f>IF('長期'!A258="","",'長期'!A258)</f>
        <v>45112</v>
      </c>
      <c r="B238" s="40">
        <f t="shared" si="1"/>
        <v>132.4314936</v>
      </c>
      <c r="C238" s="40">
        <f t="shared" si="2"/>
        <v>125.9757468</v>
      </c>
      <c r="D238" s="40">
        <f>'長期'!D258</f>
        <v>124</v>
      </c>
      <c r="E238" s="40">
        <f t="shared" si="3"/>
        <v>113.0642532</v>
      </c>
      <c r="F238" s="40">
        <f t="shared" si="4"/>
        <v>106.6085064</v>
      </c>
    </row>
    <row r="239" ht="12.0" customHeight="1">
      <c r="A239" s="55">
        <f>IF('長期'!A257="","",'長期'!A257)</f>
        <v>45113</v>
      </c>
      <c r="B239" s="40">
        <f t="shared" si="1"/>
        <v>132.4653794</v>
      </c>
      <c r="C239" s="40">
        <f t="shared" si="2"/>
        <v>126.1126897</v>
      </c>
      <c r="D239" s="40">
        <f>'長期'!D257</f>
        <v>120</v>
      </c>
      <c r="E239" s="40">
        <f t="shared" si="3"/>
        <v>113.4073103</v>
      </c>
      <c r="F239" s="40">
        <f t="shared" si="4"/>
        <v>107.0546206</v>
      </c>
    </row>
    <row r="240" ht="12.0" customHeight="1">
      <c r="A240" s="55">
        <f>IF('長期'!A256="","",'長期'!A256)</f>
        <v>45114</v>
      </c>
      <c r="B240" s="40">
        <f t="shared" si="1"/>
        <v>133.6217908</v>
      </c>
      <c r="C240" s="40">
        <f t="shared" si="2"/>
        <v>127.0508954</v>
      </c>
      <c r="D240" s="40">
        <f>'長期'!D256</f>
        <v>131</v>
      </c>
      <c r="E240" s="40">
        <f t="shared" si="3"/>
        <v>113.9091046</v>
      </c>
      <c r="F240" s="40">
        <f t="shared" si="4"/>
        <v>107.3382092</v>
      </c>
    </row>
    <row r="241" ht="12.0" customHeight="1">
      <c r="A241" s="55">
        <f>IF('長期'!A255="","",'長期'!A255)</f>
        <v>45117</v>
      </c>
      <c r="B241" s="40">
        <f t="shared" si="1"/>
        <v>134.4001397</v>
      </c>
      <c r="C241" s="40">
        <f t="shared" si="2"/>
        <v>127.7200699</v>
      </c>
      <c r="D241" s="40">
        <f>'長期'!D255</f>
        <v>129</v>
      </c>
      <c r="E241" s="40">
        <f t="shared" si="3"/>
        <v>114.3599301</v>
      </c>
      <c r="F241" s="40">
        <f t="shared" si="4"/>
        <v>107.6798603</v>
      </c>
    </row>
    <row r="242" ht="12.0" customHeight="1">
      <c r="A242" s="55">
        <f>IF('長期'!A254="","",'長期'!A254)</f>
        <v>45118</v>
      </c>
      <c r="B242" s="40">
        <f t="shared" si="1"/>
        <v>135.1055644</v>
      </c>
      <c r="C242" s="40">
        <f t="shared" si="2"/>
        <v>128.4127822</v>
      </c>
      <c r="D242" s="40">
        <f>'長期'!D254</f>
        <v>130</v>
      </c>
      <c r="E242" s="40">
        <f t="shared" si="3"/>
        <v>115.0272178</v>
      </c>
      <c r="F242" s="40">
        <f t="shared" si="4"/>
        <v>108.3344356</v>
      </c>
    </row>
    <row r="243" ht="12.0" customHeight="1">
      <c r="A243" s="55">
        <f>IF('長期'!A253="","",'長期'!A253)</f>
        <v>45119</v>
      </c>
      <c r="B243" s="40">
        <f t="shared" si="1"/>
        <v>135.3838198</v>
      </c>
      <c r="C243" s="40">
        <f t="shared" si="2"/>
        <v>128.8119099</v>
      </c>
      <c r="D243" s="40">
        <f>'長期'!D253</f>
        <v>127</v>
      </c>
      <c r="E243" s="40">
        <f t="shared" si="3"/>
        <v>115.6680901</v>
      </c>
      <c r="F243" s="40">
        <f t="shared" si="4"/>
        <v>109.0961802</v>
      </c>
    </row>
    <row r="244" ht="12.0" customHeight="1">
      <c r="A244" s="55">
        <f>IF('長期'!A252="","",'長期'!A252)</f>
        <v>45120</v>
      </c>
      <c r="B244" s="40">
        <f t="shared" si="1"/>
        <v>135.6354769</v>
      </c>
      <c r="C244" s="40">
        <f t="shared" si="2"/>
        <v>129.3577384</v>
      </c>
      <c r="D244" s="40">
        <f>'長期'!D252</f>
        <v>131</v>
      </c>
      <c r="E244" s="40">
        <f t="shared" si="3"/>
        <v>116.8022616</v>
      </c>
      <c r="F244" s="40">
        <f t="shared" si="4"/>
        <v>110.5245231</v>
      </c>
    </row>
    <row r="245" ht="12.0" customHeight="1">
      <c r="A245" s="55">
        <f>IF('長期'!A251="","",'長期'!A251)</f>
        <v>45121</v>
      </c>
      <c r="B245" s="40">
        <f t="shared" si="1"/>
        <v>135.531294</v>
      </c>
      <c r="C245" s="40">
        <f t="shared" si="2"/>
        <v>129.625647</v>
      </c>
      <c r="D245" s="40">
        <f>'長期'!D251</f>
        <v>128</v>
      </c>
      <c r="E245" s="40">
        <f t="shared" si="3"/>
        <v>117.814353</v>
      </c>
      <c r="F245" s="40">
        <f t="shared" si="4"/>
        <v>111.908706</v>
      </c>
    </row>
    <row r="246" ht="12.0" customHeight="1">
      <c r="A246" s="55">
        <f>IF('長期'!A250="","",'長期'!A250)</f>
        <v>45125</v>
      </c>
      <c r="B246" s="40">
        <f t="shared" si="1"/>
        <v>135.5852859</v>
      </c>
      <c r="C246" s="40">
        <f t="shared" si="2"/>
        <v>129.952643</v>
      </c>
      <c r="D246" s="40">
        <f>'長期'!D250</f>
        <v>129</v>
      </c>
      <c r="E246" s="40">
        <f t="shared" si="3"/>
        <v>118.687357</v>
      </c>
      <c r="F246" s="40">
        <f t="shared" si="4"/>
        <v>113.0547141</v>
      </c>
    </row>
    <row r="247" ht="12.0" customHeight="1">
      <c r="A247" s="55">
        <f>IF('長期'!A249="","",'長期'!A249)</f>
        <v>45126</v>
      </c>
      <c r="B247" s="40">
        <f t="shared" si="1"/>
        <v>135.5191821</v>
      </c>
      <c r="C247" s="40">
        <f t="shared" si="2"/>
        <v>130.1395911</v>
      </c>
      <c r="D247" s="40">
        <f>'長期'!D249</f>
        <v>127</v>
      </c>
      <c r="E247" s="40">
        <f t="shared" si="3"/>
        <v>119.3804089</v>
      </c>
      <c r="F247" s="40">
        <f t="shared" si="4"/>
        <v>114.0008179</v>
      </c>
    </row>
    <row r="248" ht="12.0" customHeight="1">
      <c r="A248" s="55">
        <f>IF('長期'!A248="","",'長期'!A248)</f>
        <v>45127</v>
      </c>
      <c r="B248" s="40">
        <f t="shared" si="1"/>
        <v>135.1641184</v>
      </c>
      <c r="C248" s="40">
        <f t="shared" si="2"/>
        <v>130.2420592</v>
      </c>
      <c r="D248" s="40">
        <f>'長期'!D248</f>
        <v>128</v>
      </c>
      <c r="E248" s="40">
        <f t="shared" si="3"/>
        <v>120.3979408</v>
      </c>
      <c r="F248" s="40">
        <f t="shared" si="4"/>
        <v>115.4758816</v>
      </c>
    </row>
    <row r="249" ht="12.0" customHeight="1">
      <c r="A249" s="55">
        <f>IF('長期'!A247="","",'長期'!A247)</f>
        <v>45128</v>
      </c>
      <c r="B249" s="40">
        <f t="shared" si="1"/>
        <v>133.7162281</v>
      </c>
      <c r="C249" s="40">
        <f t="shared" si="2"/>
        <v>129.758114</v>
      </c>
      <c r="D249" s="40">
        <f>'長期'!D247</f>
        <v>123</v>
      </c>
      <c r="E249" s="40">
        <f t="shared" si="3"/>
        <v>121.841886</v>
      </c>
      <c r="F249" s="40">
        <f t="shared" si="4"/>
        <v>117.8837719</v>
      </c>
    </row>
    <row r="250" ht="12.0" customHeight="1">
      <c r="A250" s="55">
        <f>IF('長期'!A246="","",'長期'!A246)</f>
        <v>45131</v>
      </c>
      <c r="B250" s="40">
        <f t="shared" si="1"/>
        <v>133.7099937</v>
      </c>
      <c r="C250" s="40">
        <f t="shared" si="2"/>
        <v>129.7149969</v>
      </c>
      <c r="D250" s="40">
        <f>'長期'!D246</f>
        <v>123</v>
      </c>
      <c r="E250" s="40">
        <f t="shared" si="3"/>
        <v>121.7250031</v>
      </c>
      <c r="F250" s="40">
        <f t="shared" si="4"/>
        <v>117.7300063</v>
      </c>
    </row>
    <row r="251" ht="12.0" customHeight="1">
      <c r="A251" s="55">
        <f>IF('長期'!A245="","",'長期'!A245)</f>
        <v>45132</v>
      </c>
      <c r="B251" s="40">
        <f t="shared" si="1"/>
        <v>132.3180522</v>
      </c>
      <c r="C251" s="40">
        <f t="shared" si="2"/>
        <v>128.7590261</v>
      </c>
      <c r="D251" s="40">
        <f>'長期'!D245</f>
        <v>122</v>
      </c>
      <c r="E251" s="40">
        <f t="shared" si="3"/>
        <v>121.6409739</v>
      </c>
      <c r="F251" s="40">
        <f t="shared" si="4"/>
        <v>118.0819478</v>
      </c>
    </row>
    <row r="252" ht="12.0" customHeight="1">
      <c r="A252" s="55">
        <f>IF('長期'!A244="","",'長期'!A244)</f>
        <v>45133</v>
      </c>
      <c r="B252" s="40">
        <f t="shared" si="1"/>
        <v>132.3411736</v>
      </c>
      <c r="C252" s="40">
        <f t="shared" si="2"/>
        <v>128.7905868</v>
      </c>
      <c r="D252" s="40">
        <f>'長期'!D244</f>
        <v>125</v>
      </c>
      <c r="E252" s="40">
        <f t="shared" si="3"/>
        <v>121.6894132</v>
      </c>
      <c r="F252" s="40">
        <f t="shared" si="4"/>
        <v>118.1388264</v>
      </c>
    </row>
    <row r="253" ht="12.0" customHeight="1">
      <c r="A253" s="55">
        <f>IF('長期'!A243="","",'長期'!A243)</f>
        <v>45134</v>
      </c>
      <c r="B253" s="40">
        <f t="shared" si="1"/>
        <v>132.1961787</v>
      </c>
      <c r="C253" s="40">
        <f t="shared" si="2"/>
        <v>128.6380894</v>
      </c>
      <c r="D253" s="40">
        <f>'長期'!D243</f>
        <v>123</v>
      </c>
      <c r="E253" s="40">
        <f t="shared" si="3"/>
        <v>121.5219106</v>
      </c>
      <c r="F253" s="40">
        <f t="shared" si="4"/>
        <v>117.9638213</v>
      </c>
    </row>
    <row r="254" ht="12.0" customHeight="1">
      <c r="A254" s="55">
        <f>IF('長期'!A242="","",'長期'!A242)</f>
        <v>45135</v>
      </c>
      <c r="B254" s="40">
        <f t="shared" si="1"/>
        <v>132.1292533</v>
      </c>
      <c r="C254" s="40">
        <f t="shared" si="2"/>
        <v>128.5246267</v>
      </c>
      <c r="D254" s="40">
        <f>'長期'!D242</f>
        <v>122</v>
      </c>
      <c r="E254" s="40">
        <f t="shared" si="3"/>
        <v>121.3153733</v>
      </c>
      <c r="F254" s="40">
        <f t="shared" si="4"/>
        <v>117.7107467</v>
      </c>
    </row>
    <row r="255" ht="12.0" customHeight="1">
      <c r="A255" s="55">
        <f>IF('長期'!A241="","",'長期'!A241)</f>
        <v>45138</v>
      </c>
      <c r="B255" s="40">
        <f t="shared" si="1"/>
        <v>131.9661484</v>
      </c>
      <c r="C255" s="40">
        <f t="shared" si="2"/>
        <v>128.3430742</v>
      </c>
      <c r="D255" s="40">
        <f>'長期'!D241</f>
        <v>122</v>
      </c>
      <c r="E255" s="40">
        <f t="shared" si="3"/>
        <v>121.0969258</v>
      </c>
      <c r="F255" s="40">
        <f t="shared" si="4"/>
        <v>117.4738516</v>
      </c>
    </row>
    <row r="256" ht="12.0" customHeight="1">
      <c r="A256" s="55">
        <f>IF('長期'!A240="","",'長期'!A240)</f>
        <v>45139</v>
      </c>
      <c r="B256" s="40">
        <f t="shared" si="1"/>
        <v>132.0610098</v>
      </c>
      <c r="C256" s="40">
        <f t="shared" si="2"/>
        <v>128.3305049</v>
      </c>
      <c r="D256" s="40">
        <f>'長期'!D240</f>
        <v>120</v>
      </c>
      <c r="E256" s="40">
        <f t="shared" si="3"/>
        <v>120.8694951</v>
      </c>
      <c r="F256" s="40">
        <f t="shared" si="4"/>
        <v>117.1389902</v>
      </c>
    </row>
    <row r="257" ht="12.0" customHeight="1">
      <c r="A257" s="55">
        <f>IF('長期'!A239="","",'長期'!A239)</f>
        <v>45140</v>
      </c>
      <c r="B257" s="40">
        <f t="shared" si="1"/>
        <v>132.1775237</v>
      </c>
      <c r="C257" s="40">
        <f t="shared" si="2"/>
        <v>128.3687618</v>
      </c>
      <c r="D257" s="40">
        <f>'長期'!D239</f>
        <v>117</v>
      </c>
      <c r="E257" s="40">
        <f t="shared" si="3"/>
        <v>120.7512382</v>
      </c>
      <c r="F257" s="40">
        <f t="shared" si="4"/>
        <v>116.9424763</v>
      </c>
    </row>
    <row r="258" ht="12.0" customHeight="1">
      <c r="A258" s="55">
        <f>IF('長期'!A238="","",'長期'!A238)</f>
        <v>45141</v>
      </c>
      <c r="B258" s="40">
        <f t="shared" si="1"/>
        <v>132.7042595</v>
      </c>
      <c r="C258" s="40">
        <f t="shared" si="2"/>
        <v>128.5321298</v>
      </c>
      <c r="D258" s="40">
        <f>'長期'!D238</f>
        <v>115</v>
      </c>
      <c r="E258" s="40">
        <f t="shared" si="3"/>
        <v>120.1878702</v>
      </c>
      <c r="F258" s="40">
        <f t="shared" si="4"/>
        <v>116.0157405</v>
      </c>
    </row>
    <row r="259" ht="12.0" customHeight="1">
      <c r="A259" s="55">
        <f>IF('長期'!A237="","",'長期'!A237)</f>
        <v>45142</v>
      </c>
      <c r="B259" s="40">
        <f t="shared" si="1"/>
        <v>133.1469485</v>
      </c>
      <c r="C259" s="40">
        <f t="shared" si="2"/>
        <v>128.5734742</v>
      </c>
      <c r="D259" s="40">
        <f>'長期'!D237</f>
        <v>115</v>
      </c>
      <c r="E259" s="40">
        <f t="shared" si="3"/>
        <v>119.4265258</v>
      </c>
      <c r="F259" s="40">
        <f t="shared" si="4"/>
        <v>114.8530515</v>
      </c>
    </row>
    <row r="260" ht="12.0" customHeight="1">
      <c r="A260" s="55">
        <f>IF('長期'!A236="","",'長期'!A236)</f>
        <v>45145</v>
      </c>
      <c r="B260" s="40">
        <f t="shared" si="1"/>
        <v>133.1741882</v>
      </c>
      <c r="C260" s="40">
        <f t="shared" si="2"/>
        <v>128.5470941</v>
      </c>
      <c r="D260" s="40">
        <f>'長期'!D236</f>
        <v>120</v>
      </c>
      <c r="E260" s="40">
        <f t="shared" si="3"/>
        <v>119.2929059</v>
      </c>
      <c r="F260" s="40">
        <f t="shared" si="4"/>
        <v>114.6658118</v>
      </c>
    </row>
    <row r="261" ht="12.0" customHeight="1">
      <c r="A261" s="55">
        <f>IF('長期'!A235="","",'長期'!A235)</f>
        <v>45146</v>
      </c>
      <c r="B261" s="40">
        <f t="shared" si="1"/>
        <v>133.1973501</v>
      </c>
      <c r="C261" s="40">
        <f t="shared" si="2"/>
        <v>128.518675</v>
      </c>
      <c r="D261" s="40">
        <f>'長期'!D235</f>
        <v>120</v>
      </c>
      <c r="E261" s="40">
        <f t="shared" si="3"/>
        <v>119.161325</v>
      </c>
      <c r="F261" s="40">
        <f t="shared" si="4"/>
        <v>114.4826499</v>
      </c>
    </row>
    <row r="262" ht="12.0" customHeight="1">
      <c r="A262" s="55">
        <f>IF('長期'!A234="","",'長期'!A234)</f>
        <v>45147</v>
      </c>
      <c r="B262" s="40">
        <f t="shared" si="1"/>
        <v>133.3308883</v>
      </c>
      <c r="C262" s="40">
        <f t="shared" si="2"/>
        <v>128.4054441</v>
      </c>
      <c r="D262" s="40">
        <f>'長期'!D234</f>
        <v>116</v>
      </c>
      <c r="E262" s="40">
        <f t="shared" si="3"/>
        <v>118.5545559</v>
      </c>
      <c r="F262" s="40">
        <f t="shared" si="4"/>
        <v>113.6291117</v>
      </c>
    </row>
    <row r="263" ht="12.0" customHeight="1">
      <c r="A263" s="55">
        <f>IF('長期'!A233="","",'長期'!A233)</f>
        <v>45148</v>
      </c>
      <c r="B263" s="40">
        <f t="shared" si="1"/>
        <v>133.4504486</v>
      </c>
      <c r="C263" s="40">
        <f t="shared" si="2"/>
        <v>128.3052243</v>
      </c>
      <c r="D263" s="40">
        <f>'長期'!D233</f>
        <v>116</v>
      </c>
      <c r="E263" s="40">
        <f t="shared" si="3"/>
        <v>118.0147757</v>
      </c>
      <c r="F263" s="40">
        <f t="shared" si="4"/>
        <v>112.8695514</v>
      </c>
    </row>
    <row r="264" ht="12.0" customHeight="1">
      <c r="A264" s="55">
        <f>IF('長期'!A232="","",'長期'!A232)</f>
        <v>45152</v>
      </c>
      <c r="B264" s="40">
        <f t="shared" si="1"/>
        <v>133.6912627</v>
      </c>
      <c r="C264" s="40">
        <f t="shared" si="2"/>
        <v>128.3256314</v>
      </c>
      <c r="D264" s="40">
        <f>'長期'!D232</f>
        <v>115</v>
      </c>
      <c r="E264" s="40">
        <f t="shared" si="3"/>
        <v>117.5943686</v>
      </c>
      <c r="F264" s="40">
        <f t="shared" si="4"/>
        <v>112.2287373</v>
      </c>
    </row>
    <row r="265" ht="12.0" customHeight="1">
      <c r="A265" s="55">
        <f>IF('長期'!A231="","",'長期'!A231)</f>
        <v>45153</v>
      </c>
      <c r="B265" s="40">
        <f t="shared" si="1"/>
        <v>132.8403065</v>
      </c>
      <c r="C265" s="40">
        <f t="shared" si="2"/>
        <v>127.6201533</v>
      </c>
      <c r="D265" s="40">
        <f>'長期'!D231</f>
        <v>117</v>
      </c>
      <c r="E265" s="40">
        <f t="shared" si="3"/>
        <v>117.1798467</v>
      </c>
      <c r="F265" s="40">
        <f t="shared" si="4"/>
        <v>111.9596935</v>
      </c>
    </row>
    <row r="266" ht="12.0" customHeight="1">
      <c r="A266" s="55">
        <f>IF('長期'!A230="","",'長期'!A230)</f>
        <v>45154</v>
      </c>
      <c r="B266" s="40">
        <f t="shared" si="1"/>
        <v>132.3070913</v>
      </c>
      <c r="C266" s="40">
        <f t="shared" si="2"/>
        <v>127.0735456</v>
      </c>
      <c r="D266" s="40">
        <f>'長期'!D230</f>
        <v>115</v>
      </c>
      <c r="E266" s="40">
        <f t="shared" si="3"/>
        <v>116.6064544</v>
      </c>
      <c r="F266" s="40">
        <f t="shared" si="4"/>
        <v>111.3729087</v>
      </c>
    </row>
    <row r="267" ht="12.0" customHeight="1">
      <c r="A267" s="55">
        <f>IF('長期'!A229="","",'長期'!A229)</f>
        <v>45155</v>
      </c>
      <c r="B267" s="40">
        <f t="shared" si="1"/>
        <v>131.6270913</v>
      </c>
      <c r="C267" s="40">
        <f t="shared" si="2"/>
        <v>126.3935456</v>
      </c>
      <c r="D267" s="40">
        <f>'長期'!D229</f>
        <v>113</v>
      </c>
      <c r="E267" s="40">
        <f t="shared" si="3"/>
        <v>115.9264544</v>
      </c>
      <c r="F267" s="40">
        <f t="shared" si="4"/>
        <v>110.6929087</v>
      </c>
    </row>
    <row r="268" ht="12.0" customHeight="1">
      <c r="A268" s="55">
        <f>IF('長期'!A228="","",'長期'!A228)</f>
        <v>45156</v>
      </c>
      <c r="B268" s="40">
        <f t="shared" si="1"/>
        <v>131.1895656</v>
      </c>
      <c r="C268" s="40">
        <f t="shared" si="2"/>
        <v>125.9147828</v>
      </c>
      <c r="D268" s="40">
        <f>'長期'!D228</f>
        <v>114</v>
      </c>
      <c r="E268" s="40">
        <f t="shared" si="3"/>
        <v>115.3652172</v>
      </c>
      <c r="F268" s="40">
        <f t="shared" si="4"/>
        <v>110.0904344</v>
      </c>
    </row>
    <row r="269" ht="12.0" customHeight="1">
      <c r="A269" s="55">
        <f>IF('長期'!A227="","",'長期'!A227)</f>
        <v>45159</v>
      </c>
      <c r="B269" s="40">
        <f t="shared" si="1"/>
        <v>129.791162</v>
      </c>
      <c r="C269" s="40">
        <f t="shared" si="2"/>
        <v>124.935581</v>
      </c>
      <c r="D269" s="40">
        <f>'長期'!D227</f>
        <v>117</v>
      </c>
      <c r="E269" s="40">
        <f t="shared" si="3"/>
        <v>115.224419</v>
      </c>
      <c r="F269" s="40">
        <f t="shared" si="4"/>
        <v>110.368838</v>
      </c>
    </row>
    <row r="270" ht="12.0" customHeight="1">
      <c r="A270" s="55">
        <f>IF('長期'!A226="","",'長期'!A226)</f>
        <v>45160</v>
      </c>
      <c r="B270" s="40">
        <f t="shared" si="1"/>
        <v>128.8556289</v>
      </c>
      <c r="C270" s="40">
        <f t="shared" si="2"/>
        <v>124.2278145</v>
      </c>
      <c r="D270" s="40">
        <f>'長期'!D226</f>
        <v>116</v>
      </c>
      <c r="E270" s="40">
        <f t="shared" si="3"/>
        <v>114.9721855</v>
      </c>
      <c r="F270" s="40">
        <f t="shared" si="4"/>
        <v>110.3443711</v>
      </c>
    </row>
    <row r="271" ht="12.0" customHeight="1">
      <c r="A271" s="55">
        <f>IF('長期'!A225="","",'長期'!A225)</f>
        <v>45161</v>
      </c>
      <c r="B271" s="40">
        <f t="shared" si="1"/>
        <v>127.5524769</v>
      </c>
      <c r="C271" s="40">
        <f t="shared" si="2"/>
        <v>123.3362384</v>
      </c>
      <c r="D271" s="40">
        <f>'長期'!D225</f>
        <v>117</v>
      </c>
      <c r="E271" s="40">
        <f t="shared" si="3"/>
        <v>114.9037616</v>
      </c>
      <c r="F271" s="40">
        <f t="shared" si="4"/>
        <v>110.6875231</v>
      </c>
    </row>
    <row r="272" ht="12.0" customHeight="1">
      <c r="A272" s="55">
        <f>IF('長期'!A224="","",'長期'!A224)</f>
        <v>45162</v>
      </c>
      <c r="B272" s="40">
        <f t="shared" si="1"/>
        <v>126.6220306</v>
      </c>
      <c r="C272" s="40">
        <f t="shared" si="2"/>
        <v>122.7310153</v>
      </c>
      <c r="D272" s="40">
        <f>'長期'!D224</f>
        <v>120</v>
      </c>
      <c r="E272" s="40">
        <f t="shared" si="3"/>
        <v>114.9489847</v>
      </c>
      <c r="F272" s="40">
        <f t="shared" si="4"/>
        <v>111.0579694</v>
      </c>
    </row>
    <row r="273" ht="12.0" customHeight="1">
      <c r="A273" s="55">
        <f>IF('長期'!A223="","",'長期'!A223)</f>
        <v>45163</v>
      </c>
      <c r="B273" s="40">
        <f t="shared" si="1"/>
        <v>125.3297969</v>
      </c>
      <c r="C273" s="40">
        <f t="shared" si="2"/>
        <v>121.9248984</v>
      </c>
      <c r="D273" s="40">
        <f>'長期'!D223</f>
        <v>120</v>
      </c>
      <c r="E273" s="40">
        <f t="shared" si="3"/>
        <v>115.1151016</v>
      </c>
      <c r="F273" s="40">
        <f t="shared" si="4"/>
        <v>111.7102031</v>
      </c>
    </row>
    <row r="274" ht="12.0" customHeight="1">
      <c r="A274" s="55">
        <f>IF('長期'!A222="","",'長期'!A222)</f>
        <v>45166</v>
      </c>
      <c r="B274" s="40">
        <f t="shared" si="1"/>
        <v>125.3297969</v>
      </c>
      <c r="C274" s="40">
        <f t="shared" si="2"/>
        <v>121.9248984</v>
      </c>
      <c r="D274" s="40">
        <f>'長期'!D222</f>
        <v>123</v>
      </c>
      <c r="E274" s="40">
        <f t="shared" si="3"/>
        <v>115.1151016</v>
      </c>
      <c r="F274" s="40">
        <f t="shared" si="4"/>
        <v>111.7102031</v>
      </c>
    </row>
    <row r="275" ht="12.0" customHeight="1">
      <c r="A275" s="55">
        <f>IF('長期'!A221="","",'長期'!A221)</f>
        <v>45167</v>
      </c>
      <c r="B275" s="40">
        <f t="shared" si="1"/>
        <v>125.6710678</v>
      </c>
      <c r="C275" s="40">
        <f t="shared" si="2"/>
        <v>122.1355339</v>
      </c>
      <c r="D275" s="40">
        <f>'長期'!D221</f>
        <v>125</v>
      </c>
      <c r="E275" s="40">
        <f t="shared" si="3"/>
        <v>115.0644661</v>
      </c>
      <c r="F275" s="40">
        <f t="shared" si="4"/>
        <v>111.5289322</v>
      </c>
    </row>
    <row r="276" ht="12.0" customHeight="1">
      <c r="A276" s="55">
        <f>IF('長期'!A220="","",'長期'!A220)</f>
        <v>45168</v>
      </c>
      <c r="B276" s="40">
        <f t="shared" si="1"/>
        <v>126.1254034</v>
      </c>
      <c r="C276" s="40">
        <f t="shared" si="2"/>
        <v>122.4227017</v>
      </c>
      <c r="D276" s="40">
        <f>'長期'!D220</f>
        <v>125</v>
      </c>
      <c r="E276" s="40">
        <f t="shared" si="3"/>
        <v>115.0172983</v>
      </c>
      <c r="F276" s="40">
        <f t="shared" si="4"/>
        <v>111.3145966</v>
      </c>
    </row>
    <row r="277" ht="12.0" customHeight="1">
      <c r="A277" s="55">
        <f>IF('長期'!A219="","",'長期'!A219)</f>
        <v>45169</v>
      </c>
      <c r="B277" s="40">
        <f t="shared" si="1"/>
        <v>127.2450626</v>
      </c>
      <c r="C277" s="40">
        <f t="shared" si="2"/>
        <v>123.0825313</v>
      </c>
      <c r="D277" s="40">
        <f>'長期'!D219</f>
        <v>130</v>
      </c>
      <c r="E277" s="40">
        <f t="shared" si="3"/>
        <v>114.7574687</v>
      </c>
      <c r="F277" s="40">
        <f t="shared" si="4"/>
        <v>110.5949374</v>
      </c>
    </row>
    <row r="278" ht="12.0" customHeight="1">
      <c r="A278" s="55">
        <f>IF('長期'!A218="","",'長期'!A218)</f>
        <v>45170</v>
      </c>
      <c r="B278" s="40">
        <f t="shared" si="1"/>
        <v>128.282865</v>
      </c>
      <c r="C278" s="40">
        <f t="shared" si="2"/>
        <v>123.7214325</v>
      </c>
      <c r="D278" s="40">
        <f>'長期'!D218</f>
        <v>129</v>
      </c>
      <c r="E278" s="40">
        <f t="shared" si="3"/>
        <v>114.5985675</v>
      </c>
      <c r="F278" s="40">
        <f t="shared" si="4"/>
        <v>110.037135</v>
      </c>
    </row>
    <row r="279" ht="12.0" customHeight="1">
      <c r="A279" s="55">
        <f>IF('長期'!A217="","",'長期'!A217)</f>
        <v>45173</v>
      </c>
      <c r="B279" s="40">
        <f t="shared" si="1"/>
        <v>128.9495777</v>
      </c>
      <c r="C279" s="40">
        <f t="shared" si="2"/>
        <v>124.1547888</v>
      </c>
      <c r="D279" s="40">
        <f>'長期'!D217</f>
        <v>127</v>
      </c>
      <c r="E279" s="40">
        <f t="shared" si="3"/>
        <v>114.5652112</v>
      </c>
      <c r="F279" s="40">
        <f t="shared" si="4"/>
        <v>109.7704223</v>
      </c>
    </row>
    <row r="280" ht="12.0" customHeight="1">
      <c r="A280" s="55">
        <f>IF('長期'!A216="","",'長期'!A216)</f>
        <v>45174</v>
      </c>
      <c r="B280" s="40">
        <f t="shared" si="1"/>
        <v>129.9336874</v>
      </c>
      <c r="C280" s="40">
        <f t="shared" si="2"/>
        <v>124.7868437</v>
      </c>
      <c r="D280" s="40">
        <f>'長期'!D216</f>
        <v>129</v>
      </c>
      <c r="E280" s="40">
        <f t="shared" si="3"/>
        <v>114.4931563</v>
      </c>
      <c r="F280" s="40">
        <f t="shared" si="4"/>
        <v>109.3463126</v>
      </c>
    </row>
    <row r="281" ht="12.0" customHeight="1">
      <c r="A281" s="55">
        <f>IF('長期'!A215="","",'長期'!A215)</f>
        <v>45175</v>
      </c>
      <c r="B281" s="40">
        <f t="shared" si="1"/>
        <v>131.1377475</v>
      </c>
      <c r="C281" s="40">
        <f t="shared" si="2"/>
        <v>125.5888738</v>
      </c>
      <c r="D281" s="40">
        <f>'長期'!D215</f>
        <v>130</v>
      </c>
      <c r="E281" s="40">
        <f t="shared" si="3"/>
        <v>114.4911262</v>
      </c>
      <c r="F281" s="40">
        <f t="shared" si="4"/>
        <v>108.9422525</v>
      </c>
    </row>
    <row r="282" ht="12.0" customHeight="1">
      <c r="A282" s="55">
        <f>IF('長期'!A214="","",'長期'!A214)</f>
        <v>45176</v>
      </c>
      <c r="B282" s="40">
        <f t="shared" si="1"/>
        <v>132.0975645</v>
      </c>
      <c r="C282" s="40">
        <f t="shared" si="2"/>
        <v>126.3087823</v>
      </c>
      <c r="D282" s="40">
        <f>'長期'!D214</f>
        <v>129</v>
      </c>
      <c r="E282" s="40">
        <f t="shared" si="3"/>
        <v>114.7312177</v>
      </c>
      <c r="F282" s="40">
        <f t="shared" si="4"/>
        <v>108.9424355</v>
      </c>
    </row>
    <row r="283" ht="12.0" customHeight="1">
      <c r="A283" s="55">
        <f>IF('長期'!A213="","",'長期'!A213)</f>
        <v>45177</v>
      </c>
      <c r="B283" s="40">
        <f t="shared" si="1"/>
        <v>132.3934476</v>
      </c>
      <c r="C283" s="40">
        <f t="shared" si="2"/>
        <v>126.6567238</v>
      </c>
      <c r="D283" s="40">
        <f>'長期'!D213</f>
        <v>125</v>
      </c>
      <c r="E283" s="40">
        <f t="shared" si="3"/>
        <v>115.1832762</v>
      </c>
      <c r="F283" s="40">
        <f t="shared" si="4"/>
        <v>109.4465524</v>
      </c>
    </row>
    <row r="284" ht="12.0" customHeight="1">
      <c r="A284" s="55">
        <f>IF('長期'!A212="","",'長期'!A212)</f>
        <v>45180</v>
      </c>
      <c r="B284" s="40">
        <f t="shared" si="1"/>
        <v>132.4101145</v>
      </c>
      <c r="C284" s="40">
        <f t="shared" si="2"/>
        <v>126.8050572</v>
      </c>
      <c r="D284" s="40">
        <f>'長期'!D212</f>
        <v>122</v>
      </c>
      <c r="E284" s="40">
        <f t="shared" si="3"/>
        <v>115.5949428</v>
      </c>
      <c r="F284" s="40">
        <f t="shared" si="4"/>
        <v>109.9898855</v>
      </c>
    </row>
    <row r="285" ht="12.0" customHeight="1">
      <c r="A285" s="55">
        <f>IF('長期'!A211="","",'長期'!A211)</f>
        <v>45181</v>
      </c>
      <c r="B285" s="40">
        <f t="shared" si="1"/>
        <v>132.9127016</v>
      </c>
      <c r="C285" s="40">
        <f t="shared" si="2"/>
        <v>127.1963508</v>
      </c>
      <c r="D285" s="40">
        <f>'長期'!D211</f>
        <v>127</v>
      </c>
      <c r="E285" s="40">
        <f t="shared" si="3"/>
        <v>115.7636492</v>
      </c>
      <c r="F285" s="40">
        <f t="shared" si="4"/>
        <v>110.0472984</v>
      </c>
    </row>
    <row r="286" ht="12.0" customHeight="1">
      <c r="A286" s="55">
        <f>IF('長期'!A210="","",'長期'!A210)</f>
        <v>45182</v>
      </c>
      <c r="B286" s="40">
        <f t="shared" si="1"/>
        <v>133.1795652</v>
      </c>
      <c r="C286" s="40">
        <f t="shared" si="2"/>
        <v>127.4297826</v>
      </c>
      <c r="D286" s="40">
        <f>'長期'!D210</f>
        <v>125</v>
      </c>
      <c r="E286" s="40">
        <f t="shared" si="3"/>
        <v>115.9302174</v>
      </c>
      <c r="F286" s="40">
        <f t="shared" si="4"/>
        <v>110.1804348</v>
      </c>
    </row>
    <row r="287" ht="12.0" customHeight="1">
      <c r="A287" s="55">
        <f>IF('長期'!A209="","",'長期'!A209)</f>
        <v>45183</v>
      </c>
      <c r="B287" s="40">
        <f t="shared" si="1"/>
        <v>133.3607774</v>
      </c>
      <c r="C287" s="40">
        <f t="shared" si="2"/>
        <v>127.7003887</v>
      </c>
      <c r="D287" s="40">
        <f>'長期'!D209</f>
        <v>125</v>
      </c>
      <c r="E287" s="40">
        <f t="shared" si="3"/>
        <v>116.3796113</v>
      </c>
      <c r="F287" s="40">
        <f t="shared" si="4"/>
        <v>110.7192226</v>
      </c>
    </row>
    <row r="288" ht="12.0" customHeight="1">
      <c r="A288" s="55">
        <f>IF('長期'!A208="","",'長期'!A208)</f>
        <v>45184</v>
      </c>
      <c r="B288" s="40">
        <f t="shared" si="1"/>
        <v>133.4186316</v>
      </c>
      <c r="C288" s="40">
        <f t="shared" si="2"/>
        <v>127.8893158</v>
      </c>
      <c r="D288" s="40">
        <f>'長期'!D208</f>
        <v>124</v>
      </c>
      <c r="E288" s="40">
        <f t="shared" si="3"/>
        <v>116.8306842</v>
      </c>
      <c r="F288" s="40">
        <f t="shared" si="4"/>
        <v>111.3013684</v>
      </c>
    </row>
    <row r="289" ht="12.0" customHeight="1">
      <c r="A289" s="55">
        <f>IF('長期'!A207="","",'長期'!A207)</f>
        <v>45188</v>
      </c>
      <c r="B289" s="40">
        <f t="shared" si="1"/>
        <v>133.3057549</v>
      </c>
      <c r="C289" s="40">
        <f t="shared" si="2"/>
        <v>127.9928774</v>
      </c>
      <c r="D289" s="40">
        <f>'長期'!D207</f>
        <v>123</v>
      </c>
      <c r="E289" s="40">
        <f t="shared" si="3"/>
        <v>117.3671226</v>
      </c>
      <c r="F289" s="40">
        <f t="shared" si="4"/>
        <v>112.0542451</v>
      </c>
    </row>
    <row r="290" ht="12.0" customHeight="1">
      <c r="A290" s="55">
        <f>IF('長期'!A206="","",'長期'!A206)</f>
        <v>45189</v>
      </c>
      <c r="B290" s="40">
        <f t="shared" si="1"/>
        <v>133.3923048</v>
      </c>
      <c r="C290" s="40">
        <f t="shared" si="2"/>
        <v>128.1961524</v>
      </c>
      <c r="D290" s="40">
        <f>'長期'!D206</f>
        <v>125</v>
      </c>
      <c r="E290" s="40">
        <f t="shared" si="3"/>
        <v>117.8038476</v>
      </c>
      <c r="F290" s="40">
        <f t="shared" si="4"/>
        <v>112.6076952</v>
      </c>
    </row>
    <row r="291" ht="12.0" customHeight="1">
      <c r="A291" s="55">
        <f>IF('長期'!A205="","",'長期'!A205)</f>
        <v>45190</v>
      </c>
      <c r="B291" s="40">
        <f t="shared" si="1"/>
        <v>133.1273657</v>
      </c>
      <c r="C291" s="40">
        <f t="shared" si="2"/>
        <v>128.1836828</v>
      </c>
      <c r="D291" s="40">
        <f>'長期'!D205</f>
        <v>121</v>
      </c>
      <c r="E291" s="40">
        <f t="shared" si="3"/>
        <v>118.2963172</v>
      </c>
      <c r="F291" s="40">
        <f t="shared" si="4"/>
        <v>113.3526343</v>
      </c>
    </row>
    <row r="292" ht="12.0" customHeight="1">
      <c r="A292" s="55">
        <f>IF('長期'!A204="","",'長期'!A204)</f>
        <v>45191</v>
      </c>
      <c r="B292" s="40">
        <f t="shared" si="1"/>
        <v>132.5442719</v>
      </c>
      <c r="C292" s="40">
        <f t="shared" si="2"/>
        <v>128.072136</v>
      </c>
      <c r="D292" s="40">
        <f>'長期'!D204</f>
        <v>122</v>
      </c>
      <c r="E292" s="40">
        <f t="shared" si="3"/>
        <v>119.127864</v>
      </c>
      <c r="F292" s="40">
        <f t="shared" si="4"/>
        <v>114.6557281</v>
      </c>
    </row>
    <row r="293" ht="12.0" customHeight="1">
      <c r="A293" s="55">
        <f>IF('長期'!A203="","",'長期'!A203)</f>
        <v>45194</v>
      </c>
      <c r="B293" s="40">
        <f t="shared" si="1"/>
        <v>132.0499938</v>
      </c>
      <c r="C293" s="40">
        <f t="shared" si="2"/>
        <v>128.0449969</v>
      </c>
      <c r="D293" s="40">
        <f>'長期'!D203</f>
        <v>125</v>
      </c>
      <c r="E293" s="40">
        <f t="shared" si="3"/>
        <v>120.0350031</v>
      </c>
      <c r="F293" s="40">
        <f t="shared" si="4"/>
        <v>116.0300062</v>
      </c>
    </row>
    <row r="294" ht="12.0" customHeight="1">
      <c r="A294" s="55">
        <f>IF('長期'!A202="","",'長期'!A202)</f>
        <v>45195</v>
      </c>
      <c r="B294" s="40">
        <f t="shared" si="1"/>
        <v>131.7517685</v>
      </c>
      <c r="C294" s="40">
        <f t="shared" si="2"/>
        <v>127.9958843</v>
      </c>
      <c r="D294" s="40">
        <f>'長期'!D202</f>
        <v>122</v>
      </c>
      <c r="E294" s="40">
        <f t="shared" si="3"/>
        <v>120.4841157</v>
      </c>
      <c r="F294" s="40">
        <f t="shared" si="4"/>
        <v>116.7282315</v>
      </c>
    </row>
    <row r="295" ht="12.0" customHeight="1">
      <c r="A295" s="55">
        <f>IF('長期'!A201="","",'長期'!A201)</f>
        <v>45196</v>
      </c>
      <c r="B295" s="40">
        <f t="shared" si="1"/>
        <v>131.2311847</v>
      </c>
      <c r="C295" s="40">
        <f t="shared" si="2"/>
        <v>127.8755923</v>
      </c>
      <c r="D295" s="40">
        <f>'長期'!D201</f>
        <v>123</v>
      </c>
      <c r="E295" s="40">
        <f t="shared" si="3"/>
        <v>121.1644077</v>
      </c>
      <c r="F295" s="40">
        <f t="shared" si="4"/>
        <v>117.8088153</v>
      </c>
    </row>
    <row r="296" ht="12.0" customHeight="1">
      <c r="A296" s="55">
        <f>IF('長期'!A200="","",'長期'!A200)</f>
        <v>45197</v>
      </c>
      <c r="B296" s="40">
        <f t="shared" si="1"/>
        <v>130.7399666</v>
      </c>
      <c r="C296" s="40">
        <f t="shared" si="2"/>
        <v>127.7499833</v>
      </c>
      <c r="D296" s="40">
        <f>'長期'!D200</f>
        <v>123</v>
      </c>
      <c r="E296" s="40">
        <f t="shared" si="3"/>
        <v>121.7700167</v>
      </c>
      <c r="F296" s="40">
        <f t="shared" si="4"/>
        <v>118.7800334</v>
      </c>
    </row>
    <row r="297" ht="12.0" customHeight="1">
      <c r="A297" s="55">
        <f>IF('長期'!A199="","",'長期'!A199)</f>
        <v>45198</v>
      </c>
      <c r="B297" s="40">
        <f t="shared" si="1"/>
        <v>130.5756123</v>
      </c>
      <c r="C297" s="40">
        <f t="shared" si="2"/>
        <v>127.7278062</v>
      </c>
      <c r="D297" s="40">
        <f>'長期'!D199</f>
        <v>123</v>
      </c>
      <c r="E297" s="40">
        <f t="shared" si="3"/>
        <v>122.0321938</v>
      </c>
      <c r="F297" s="40">
        <f t="shared" si="4"/>
        <v>119.1843877</v>
      </c>
    </row>
    <row r="298" ht="12.0" customHeight="1">
      <c r="A298" s="55">
        <f>IF('長期'!A198="","",'長期'!A198)</f>
        <v>45201</v>
      </c>
      <c r="B298" s="40">
        <f t="shared" si="1"/>
        <v>130.6903561</v>
      </c>
      <c r="C298" s="40">
        <f t="shared" si="2"/>
        <v>127.7651781</v>
      </c>
      <c r="D298" s="40">
        <f>'長期'!D198</f>
        <v>119</v>
      </c>
      <c r="E298" s="40">
        <f t="shared" si="3"/>
        <v>121.9148219</v>
      </c>
      <c r="F298" s="40">
        <f t="shared" si="4"/>
        <v>118.9896439</v>
      </c>
    </row>
    <row r="299" ht="12.0" customHeight="1">
      <c r="A299" s="55">
        <f>IF('長期'!A197="","",'長期'!A197)</f>
        <v>45202</v>
      </c>
      <c r="B299" s="40">
        <f t="shared" si="1"/>
        <v>131.2080759</v>
      </c>
      <c r="C299" s="40">
        <f t="shared" si="2"/>
        <v>127.9040379</v>
      </c>
      <c r="D299" s="40">
        <f>'長期'!D197</f>
        <v>117</v>
      </c>
      <c r="E299" s="40">
        <f t="shared" si="3"/>
        <v>121.2959621</v>
      </c>
      <c r="F299" s="40">
        <f t="shared" si="4"/>
        <v>117.9919241</v>
      </c>
    </row>
    <row r="300" ht="12.0" customHeight="1">
      <c r="A300" s="55">
        <f>IF('長期'!A196="","",'長期'!A196)</f>
        <v>45203</v>
      </c>
      <c r="B300" s="40">
        <f t="shared" si="1"/>
        <v>132.0060181</v>
      </c>
      <c r="C300" s="40">
        <f t="shared" si="2"/>
        <v>128.083009</v>
      </c>
      <c r="D300" s="40">
        <f>'長期'!D196</f>
        <v>114</v>
      </c>
      <c r="E300" s="40">
        <f t="shared" si="3"/>
        <v>120.236991</v>
      </c>
      <c r="F300" s="40">
        <f t="shared" si="4"/>
        <v>116.3139819</v>
      </c>
    </row>
    <row r="301" ht="12.0" customHeight="1">
      <c r="A301" s="55">
        <f>IF('長期'!A195="","",'長期'!A195)</f>
        <v>45204</v>
      </c>
      <c r="B301" s="40">
        <f t="shared" si="1"/>
        <v>132.4063865</v>
      </c>
      <c r="C301" s="40">
        <f t="shared" si="2"/>
        <v>128.0831933</v>
      </c>
      <c r="D301" s="40">
        <f>'長期'!D195</f>
        <v>115</v>
      </c>
      <c r="E301" s="40">
        <f t="shared" si="3"/>
        <v>119.4368067</v>
      </c>
      <c r="F301" s="40">
        <f t="shared" si="4"/>
        <v>115.1136135</v>
      </c>
    </row>
    <row r="302" ht="12.0" customHeight="1">
      <c r="A302" s="55">
        <f>IF('長期'!A194="","",'長期'!A194)</f>
        <v>45205</v>
      </c>
      <c r="B302" s="40">
        <f t="shared" si="1"/>
        <v>131.8863865</v>
      </c>
      <c r="C302" s="40">
        <f t="shared" si="2"/>
        <v>127.5631933</v>
      </c>
      <c r="D302" s="40">
        <f>'長期'!D194</f>
        <v>117</v>
      </c>
      <c r="E302" s="40">
        <f t="shared" si="3"/>
        <v>118.9168067</v>
      </c>
      <c r="F302" s="40">
        <f t="shared" si="4"/>
        <v>114.5936135</v>
      </c>
    </row>
    <row r="303" ht="12.0" customHeight="1">
      <c r="A303" s="55">
        <f>IF('長期'!A193="","",'長期'!A193)</f>
        <v>45209</v>
      </c>
      <c r="B303" s="40">
        <f t="shared" si="1"/>
        <v>131.2993144</v>
      </c>
      <c r="C303" s="40">
        <f t="shared" si="2"/>
        <v>127.0696572</v>
      </c>
      <c r="D303" s="40">
        <f>'長期'!D193</f>
        <v>119</v>
      </c>
      <c r="E303" s="40">
        <f t="shared" si="3"/>
        <v>118.6103428</v>
      </c>
      <c r="F303" s="40">
        <f t="shared" si="4"/>
        <v>114.3806856</v>
      </c>
    </row>
    <row r="304" ht="12.0" customHeight="1">
      <c r="A304" s="55">
        <f>IF('長期'!A192="","",'長期'!A192)</f>
        <v>45210</v>
      </c>
      <c r="B304" s="40">
        <f t="shared" si="1"/>
        <v>130.9287256</v>
      </c>
      <c r="C304" s="40">
        <f t="shared" si="2"/>
        <v>126.7243628</v>
      </c>
      <c r="D304" s="40">
        <f>'長期'!D192</f>
        <v>119</v>
      </c>
      <c r="E304" s="40">
        <f t="shared" si="3"/>
        <v>118.3156372</v>
      </c>
      <c r="F304" s="40">
        <f t="shared" si="4"/>
        <v>114.1112744</v>
      </c>
    </row>
    <row r="305" ht="12.0" customHeight="1">
      <c r="A305" s="55">
        <f>IF('長期'!A191="","",'長期'!A191)</f>
        <v>45211</v>
      </c>
      <c r="B305" s="40">
        <f t="shared" si="1"/>
        <v>130.346656</v>
      </c>
      <c r="C305" s="40">
        <f t="shared" si="2"/>
        <v>126.173328</v>
      </c>
      <c r="D305" s="40">
        <f>'長期'!D191</f>
        <v>116</v>
      </c>
      <c r="E305" s="40">
        <f t="shared" si="3"/>
        <v>117.826672</v>
      </c>
      <c r="F305" s="40">
        <f t="shared" si="4"/>
        <v>113.653344</v>
      </c>
    </row>
    <row r="306" ht="12.0" customHeight="1">
      <c r="A306" s="55">
        <f>IF('長期'!A190="","",'長期'!A190)</f>
        <v>45212</v>
      </c>
      <c r="B306" s="40">
        <f t="shared" si="1"/>
        <v>129.5034972</v>
      </c>
      <c r="C306" s="40">
        <f t="shared" si="2"/>
        <v>125.4517486</v>
      </c>
      <c r="D306" s="40">
        <f>'長期'!D190</f>
        <v>115</v>
      </c>
      <c r="E306" s="40">
        <f t="shared" si="3"/>
        <v>117.3482514</v>
      </c>
      <c r="F306" s="40">
        <f t="shared" si="4"/>
        <v>113.2965028</v>
      </c>
    </row>
    <row r="307" ht="12.0" customHeight="1">
      <c r="A307" s="55">
        <f>IF('長期'!A189="","",'長期'!A189)</f>
        <v>45215</v>
      </c>
      <c r="B307" s="40">
        <f t="shared" si="1"/>
        <v>128.8897806</v>
      </c>
      <c r="C307" s="40">
        <f t="shared" si="2"/>
        <v>124.8248903</v>
      </c>
      <c r="D307" s="40">
        <f>'長期'!D189</f>
        <v>113</v>
      </c>
      <c r="E307" s="40">
        <f t="shared" si="3"/>
        <v>116.6951097</v>
      </c>
      <c r="F307" s="40">
        <f t="shared" si="4"/>
        <v>112.6302194</v>
      </c>
    </row>
    <row r="308" ht="12.0" customHeight="1">
      <c r="A308" s="55">
        <f>IF('長期'!A188="","",'長期'!A188)</f>
        <v>45216</v>
      </c>
      <c r="B308" s="40">
        <f t="shared" si="1"/>
        <v>128.8863865</v>
      </c>
      <c r="C308" s="40">
        <f t="shared" si="2"/>
        <v>124.5631933</v>
      </c>
      <c r="D308" s="40">
        <f>'長期'!D188</f>
        <v>112</v>
      </c>
      <c r="E308" s="40">
        <f t="shared" si="3"/>
        <v>115.9168067</v>
      </c>
      <c r="F308" s="40">
        <f t="shared" si="4"/>
        <v>111.5936135</v>
      </c>
    </row>
    <row r="309" ht="12.0" customHeight="1">
      <c r="A309" s="55">
        <f>IF('長期'!A187="","",'長期'!A187)</f>
        <v>45217</v>
      </c>
      <c r="B309" s="40">
        <f t="shared" si="1"/>
        <v>128.8813987</v>
      </c>
      <c r="C309" s="40">
        <f t="shared" si="2"/>
        <v>124.4006994</v>
      </c>
      <c r="D309" s="40">
        <f>'長期'!D187</f>
        <v>114</v>
      </c>
      <c r="E309" s="40">
        <f t="shared" si="3"/>
        <v>115.4393006</v>
      </c>
      <c r="F309" s="40">
        <f t="shared" si="4"/>
        <v>110.9586013</v>
      </c>
    </row>
    <row r="310" ht="12.0" customHeight="1">
      <c r="A310" s="55">
        <f>IF('長期'!A186="","",'長期'!A186)</f>
        <v>45218</v>
      </c>
      <c r="B310" s="40">
        <f t="shared" si="1"/>
        <v>128.1017935</v>
      </c>
      <c r="C310" s="40">
        <f t="shared" si="2"/>
        <v>123.7708968</v>
      </c>
      <c r="D310" s="40">
        <f>'長期'!D186</f>
        <v>115</v>
      </c>
      <c r="E310" s="40">
        <f t="shared" si="3"/>
        <v>115.1091032</v>
      </c>
      <c r="F310" s="40">
        <f t="shared" si="4"/>
        <v>110.7782065</v>
      </c>
    </row>
    <row r="311" ht="12.0" customHeight="1">
      <c r="A311" s="55">
        <f>IF('長期'!A185="","",'長期'!A185)</f>
        <v>45219</v>
      </c>
      <c r="B311" s="40">
        <f t="shared" si="1"/>
        <v>127.6023253</v>
      </c>
      <c r="C311" s="40">
        <f t="shared" si="2"/>
        <v>123.3011626</v>
      </c>
      <c r="D311" s="40">
        <f>'長期'!D185</f>
        <v>114</v>
      </c>
      <c r="E311" s="40">
        <f t="shared" si="3"/>
        <v>114.6988374</v>
      </c>
      <c r="F311" s="40">
        <f t="shared" si="4"/>
        <v>110.3976747</v>
      </c>
    </row>
    <row r="312" ht="12.0" customHeight="1">
      <c r="A312" s="55">
        <f>IF('長期'!A184="","",'長期'!A184)</f>
        <v>45222</v>
      </c>
      <c r="B312" s="40">
        <f t="shared" si="1"/>
        <v>127.3442719</v>
      </c>
      <c r="C312" s="40">
        <f t="shared" si="2"/>
        <v>122.872136</v>
      </c>
      <c r="D312" s="40">
        <f>'長期'!D184</f>
        <v>110</v>
      </c>
      <c r="E312" s="40">
        <f t="shared" si="3"/>
        <v>113.927864</v>
      </c>
      <c r="F312" s="40">
        <f t="shared" si="4"/>
        <v>109.4557281</v>
      </c>
    </row>
    <row r="313" ht="12.0" customHeight="1">
      <c r="A313" s="55">
        <f>IF('長期'!A183="","",'長期'!A183)</f>
        <v>45223</v>
      </c>
      <c r="B313" s="40">
        <f t="shared" si="1"/>
        <v>126.8999777</v>
      </c>
      <c r="C313" s="40">
        <f t="shared" si="2"/>
        <v>122.4099889</v>
      </c>
      <c r="D313" s="40">
        <f>'長期'!D183</f>
        <v>112</v>
      </c>
      <c r="E313" s="40">
        <f t="shared" si="3"/>
        <v>113.4300111</v>
      </c>
      <c r="F313" s="40">
        <f t="shared" si="4"/>
        <v>108.9400223</v>
      </c>
    </row>
    <row r="314" ht="12.0" customHeight="1">
      <c r="A314" s="55">
        <f>IF('長期'!A182="","",'長期'!A182)</f>
        <v>45224</v>
      </c>
      <c r="B314" s="40">
        <f t="shared" si="1"/>
        <v>126.5701698</v>
      </c>
      <c r="C314" s="40">
        <f t="shared" si="2"/>
        <v>122.0050849</v>
      </c>
      <c r="D314" s="40">
        <f>'長期'!D182</f>
        <v>111</v>
      </c>
      <c r="E314" s="40">
        <f t="shared" si="3"/>
        <v>112.8749151</v>
      </c>
      <c r="F314" s="40">
        <f t="shared" si="4"/>
        <v>108.3098302</v>
      </c>
    </row>
    <row r="315" ht="12.0" customHeight="1">
      <c r="A315" s="55">
        <f>IF('長期'!A181="","",'長期'!A181)</f>
        <v>45225</v>
      </c>
      <c r="B315" s="40">
        <f t="shared" si="1"/>
        <v>125.8710575</v>
      </c>
      <c r="C315" s="40">
        <f t="shared" si="2"/>
        <v>121.3555288</v>
      </c>
      <c r="D315" s="40">
        <f>'長期'!D181</f>
        <v>110</v>
      </c>
      <c r="E315" s="40">
        <f t="shared" si="3"/>
        <v>112.3244712</v>
      </c>
      <c r="F315" s="40">
        <f t="shared" si="4"/>
        <v>107.8089425</v>
      </c>
    </row>
    <row r="316" ht="12.0" customHeight="1">
      <c r="A316" s="55">
        <f>IF('長期'!A180="","",'長期'!A180)</f>
        <v>45226</v>
      </c>
      <c r="B316" s="40">
        <f t="shared" si="1"/>
        <v>125.5884061</v>
      </c>
      <c r="C316" s="40">
        <f t="shared" si="2"/>
        <v>121.014203</v>
      </c>
      <c r="D316" s="40">
        <f>'長期'!D180</f>
        <v>111</v>
      </c>
      <c r="E316" s="40">
        <f t="shared" si="3"/>
        <v>111.865797</v>
      </c>
      <c r="F316" s="40">
        <f t="shared" si="4"/>
        <v>107.2915939</v>
      </c>
    </row>
    <row r="317" ht="12.0" customHeight="1">
      <c r="A317" s="55">
        <f>IF('長期'!A179="","",'長期'!A179)</f>
        <v>45229</v>
      </c>
      <c r="B317" s="40">
        <f t="shared" si="1"/>
        <v>125.426101</v>
      </c>
      <c r="C317" s="40">
        <f t="shared" si="2"/>
        <v>120.6330505</v>
      </c>
      <c r="D317" s="40">
        <f>'長期'!D179</f>
        <v>107</v>
      </c>
      <c r="E317" s="40">
        <f t="shared" si="3"/>
        <v>111.0469495</v>
      </c>
      <c r="F317" s="40">
        <f t="shared" si="4"/>
        <v>106.253899</v>
      </c>
    </row>
    <row r="318" ht="12.0" customHeight="1">
      <c r="A318" s="55">
        <f>IF('長期'!A178="","",'長期'!A178)</f>
        <v>45230</v>
      </c>
      <c r="B318" s="40">
        <f t="shared" si="1"/>
        <v>124.2525507</v>
      </c>
      <c r="C318" s="40">
        <f t="shared" si="2"/>
        <v>119.7662754</v>
      </c>
      <c r="D318" s="40">
        <f>'長期'!D178</f>
        <v>111</v>
      </c>
      <c r="E318" s="40">
        <f t="shared" si="3"/>
        <v>110.7937246</v>
      </c>
      <c r="F318" s="40">
        <f t="shared" si="4"/>
        <v>106.3074493</v>
      </c>
    </row>
    <row r="319" ht="12.0" customHeight="1">
      <c r="A319" s="55">
        <f>IF('長期'!A177="","",'長期'!A177)</f>
        <v>45231</v>
      </c>
      <c r="B319" s="40">
        <f t="shared" si="1"/>
        <v>123.5133308</v>
      </c>
      <c r="C319" s="40">
        <f t="shared" si="2"/>
        <v>119.1766654</v>
      </c>
      <c r="D319" s="40">
        <f>'長期'!D177</f>
        <v>111</v>
      </c>
      <c r="E319" s="40">
        <f t="shared" si="3"/>
        <v>110.5033346</v>
      </c>
      <c r="F319" s="40">
        <f t="shared" si="4"/>
        <v>106.1666692</v>
      </c>
    </row>
    <row r="320" ht="12.0" customHeight="1">
      <c r="A320" s="55">
        <f>IF('長期'!A176="","",'長期'!A176)</f>
        <v>45232</v>
      </c>
      <c r="B320" s="40">
        <f t="shared" si="1"/>
        <v>122.4415587</v>
      </c>
      <c r="C320" s="40">
        <f t="shared" si="2"/>
        <v>118.4207794</v>
      </c>
      <c r="D320" s="40">
        <f>'長期'!D176</f>
        <v>112</v>
      </c>
      <c r="E320" s="40">
        <f t="shared" si="3"/>
        <v>110.3792206</v>
      </c>
      <c r="F320" s="40">
        <f t="shared" si="4"/>
        <v>106.3584413</v>
      </c>
    </row>
    <row r="321" ht="12.0" customHeight="1">
      <c r="A321" s="55">
        <f>IF('長期'!A175="","",'長期'!A175)</f>
        <v>45236</v>
      </c>
      <c r="B321" s="40">
        <f t="shared" si="1"/>
        <v>121.2211415</v>
      </c>
      <c r="C321" s="40">
        <f t="shared" si="2"/>
        <v>117.5705707</v>
      </c>
      <c r="D321" s="40">
        <f>'長期'!D175</f>
        <v>111</v>
      </c>
      <c r="E321" s="40">
        <f t="shared" si="3"/>
        <v>110.2694293</v>
      </c>
      <c r="F321" s="40">
        <f t="shared" si="4"/>
        <v>106.6188585</v>
      </c>
    </row>
    <row r="322" ht="12.0" customHeight="1">
      <c r="A322" s="55">
        <f>IF('長期'!A174="","",'長期'!A174)</f>
        <v>45237</v>
      </c>
      <c r="B322" s="40">
        <f t="shared" si="1"/>
        <v>119.8031242</v>
      </c>
      <c r="C322" s="40">
        <f t="shared" si="2"/>
        <v>116.6015621</v>
      </c>
      <c r="D322" s="40">
        <f>'長期'!D174</f>
        <v>110</v>
      </c>
      <c r="E322" s="40">
        <f t="shared" si="3"/>
        <v>110.1984379</v>
      </c>
      <c r="F322" s="40">
        <f t="shared" si="4"/>
        <v>106.9968758</v>
      </c>
    </row>
    <row r="323" ht="12.0" customHeight="1">
      <c r="A323" s="55">
        <f>IF('長期'!A173="","",'長期'!A173)</f>
        <v>45238</v>
      </c>
      <c r="B323" s="40">
        <f t="shared" si="1"/>
        <v>119.1913919</v>
      </c>
      <c r="C323" s="40">
        <f t="shared" si="2"/>
        <v>116.0956959</v>
      </c>
      <c r="D323" s="40">
        <f>'長期'!D173</f>
        <v>109</v>
      </c>
      <c r="E323" s="40">
        <f t="shared" si="3"/>
        <v>109.9043041</v>
      </c>
      <c r="F323" s="40">
        <f t="shared" si="4"/>
        <v>106.8086081</v>
      </c>
    </row>
    <row r="324" ht="12.0" customHeight="1">
      <c r="A324" s="55">
        <f>IF('長期'!A172="","",'長期'!A172)</f>
        <v>45239</v>
      </c>
      <c r="B324" s="40">
        <f t="shared" si="1"/>
        <v>118.9084395</v>
      </c>
      <c r="C324" s="40">
        <f t="shared" si="2"/>
        <v>115.7742197</v>
      </c>
      <c r="D324" s="40">
        <f>'長期'!D172</f>
        <v>108</v>
      </c>
      <c r="E324" s="40">
        <f t="shared" si="3"/>
        <v>109.5057803</v>
      </c>
      <c r="F324" s="40">
        <f t="shared" si="4"/>
        <v>106.3715605</v>
      </c>
    </row>
    <row r="325" ht="12.0" customHeight="1">
      <c r="A325" s="55">
        <f>IF('長期'!A171="","",'長期'!A171)</f>
        <v>45240</v>
      </c>
      <c r="B325" s="40">
        <f t="shared" si="1"/>
        <v>119.0954459</v>
      </c>
      <c r="C325" s="40">
        <f t="shared" si="2"/>
        <v>115.7077229</v>
      </c>
      <c r="D325" s="40">
        <f>'長期'!D171</f>
        <v>106</v>
      </c>
      <c r="E325" s="40">
        <f t="shared" si="3"/>
        <v>108.9322771</v>
      </c>
      <c r="F325" s="40">
        <f t="shared" si="4"/>
        <v>105.5445541</v>
      </c>
    </row>
    <row r="326" ht="12.0" customHeight="1">
      <c r="A326" s="55">
        <f>IF('長期'!A170="","",'長期'!A170)</f>
        <v>45243</v>
      </c>
      <c r="B326" s="40">
        <f t="shared" si="1"/>
        <v>119.3258042</v>
      </c>
      <c r="C326" s="40">
        <f t="shared" si="2"/>
        <v>115.6029021</v>
      </c>
      <c r="D326" s="40">
        <f>'長期'!D170</f>
        <v>104</v>
      </c>
      <c r="E326" s="40">
        <f t="shared" si="3"/>
        <v>108.1570979</v>
      </c>
      <c r="F326" s="40">
        <f t="shared" si="4"/>
        <v>104.4341958</v>
      </c>
    </row>
    <row r="327" ht="12.0" customHeight="1">
      <c r="A327" s="55">
        <f>IF('長期'!A169="","",'長期'!A169)</f>
        <v>45244</v>
      </c>
      <c r="B327" s="40">
        <f t="shared" si="1"/>
        <v>119.55224</v>
      </c>
      <c r="C327" s="40">
        <f t="shared" si="2"/>
        <v>115.39612</v>
      </c>
      <c r="D327" s="40">
        <f>'長期'!D169</f>
        <v>101</v>
      </c>
      <c r="E327" s="40">
        <f t="shared" si="3"/>
        <v>107.08388</v>
      </c>
      <c r="F327" s="40">
        <f t="shared" si="4"/>
        <v>102.92776</v>
      </c>
    </row>
    <row r="328" ht="12.0" customHeight="1">
      <c r="A328" s="55">
        <f>IF('長期'!A168="","",'長期'!A168)</f>
        <v>45245</v>
      </c>
      <c r="B328" s="40">
        <f t="shared" si="1"/>
        <v>118.8865353</v>
      </c>
      <c r="C328" s="40">
        <f t="shared" si="2"/>
        <v>114.7432676</v>
      </c>
      <c r="D328" s="40">
        <f>'長期'!D168</f>
        <v>103</v>
      </c>
      <c r="E328" s="40">
        <f t="shared" si="3"/>
        <v>106.4567324</v>
      </c>
      <c r="F328" s="40">
        <f t="shared" si="4"/>
        <v>102.3134647</v>
      </c>
    </row>
    <row r="329" ht="12.0" customHeight="1">
      <c r="A329" s="55">
        <f>IF('長期'!A167="","",'長期'!A167)</f>
        <v>45246</v>
      </c>
      <c r="B329" s="40">
        <f t="shared" si="1"/>
        <v>118.3972581</v>
      </c>
      <c r="C329" s="40">
        <f t="shared" si="2"/>
        <v>114.1186291</v>
      </c>
      <c r="D329" s="40">
        <f>'長期'!D167</f>
        <v>100</v>
      </c>
      <c r="E329" s="40">
        <f t="shared" si="3"/>
        <v>105.5613709</v>
      </c>
      <c r="F329" s="40">
        <f t="shared" si="4"/>
        <v>101.2827419</v>
      </c>
    </row>
    <row r="330" ht="12.0" customHeight="1">
      <c r="A330" s="55">
        <f>IF('長期'!A166="","",'長期'!A166)</f>
        <v>45247</v>
      </c>
      <c r="B330" s="40">
        <f t="shared" si="1"/>
        <v>118.5065152</v>
      </c>
      <c r="C330" s="40">
        <f t="shared" si="2"/>
        <v>113.8132576</v>
      </c>
      <c r="D330" s="40">
        <f>'長期'!D166</f>
        <v>98</v>
      </c>
      <c r="E330" s="40">
        <f t="shared" si="3"/>
        <v>104.4267424</v>
      </c>
      <c r="F330" s="40">
        <f t="shared" si="4"/>
        <v>99.73348485</v>
      </c>
    </row>
    <row r="331" ht="12.0" customHeight="1">
      <c r="A331" s="55">
        <f>IF('長期'!A165="","",'長期'!A165)</f>
        <v>45250</v>
      </c>
      <c r="B331" s="40">
        <f t="shared" si="1"/>
        <v>117.9485849</v>
      </c>
      <c r="C331" s="40">
        <f t="shared" si="2"/>
        <v>113.3142925</v>
      </c>
      <c r="D331" s="40">
        <f>'長期'!D165</f>
        <v>104</v>
      </c>
      <c r="E331" s="40">
        <f t="shared" si="3"/>
        <v>104.0457075</v>
      </c>
      <c r="F331" s="40">
        <f t="shared" si="4"/>
        <v>99.41141507</v>
      </c>
    </row>
    <row r="332" ht="12.0" customHeight="1">
      <c r="A332" s="55">
        <f>IF('長期'!A164="","",'長期'!A164)</f>
        <v>45251</v>
      </c>
      <c r="B332" s="40">
        <f t="shared" si="1"/>
        <v>117.6344998</v>
      </c>
      <c r="C332" s="40">
        <f t="shared" si="2"/>
        <v>112.9572499</v>
      </c>
      <c r="D332" s="40">
        <f>'長期'!D164</f>
        <v>103</v>
      </c>
      <c r="E332" s="40">
        <f t="shared" si="3"/>
        <v>103.6027501</v>
      </c>
      <c r="F332" s="40">
        <f t="shared" si="4"/>
        <v>98.92550019</v>
      </c>
    </row>
    <row r="333" ht="12.0" customHeight="1">
      <c r="A333" s="55">
        <f>IF('長期'!A163="","",'長期'!A163)</f>
        <v>45252</v>
      </c>
      <c r="B333" s="40">
        <f t="shared" si="1"/>
        <v>117.3094934</v>
      </c>
      <c r="C333" s="40">
        <f t="shared" si="2"/>
        <v>112.6547467</v>
      </c>
      <c r="D333" s="40">
        <f>'長期'!D163</f>
        <v>105</v>
      </c>
      <c r="E333" s="40">
        <f t="shared" si="3"/>
        <v>103.3452533</v>
      </c>
      <c r="F333" s="40">
        <f t="shared" si="4"/>
        <v>98.69050664</v>
      </c>
    </row>
    <row r="334" ht="12.0" customHeight="1">
      <c r="A334" s="55">
        <f>IF('長期'!A162="","",'長期'!A162)</f>
        <v>45254</v>
      </c>
      <c r="B334" s="40">
        <f t="shared" si="1"/>
        <v>116.7266061</v>
      </c>
      <c r="C334" s="40">
        <f t="shared" si="2"/>
        <v>112.143303</v>
      </c>
      <c r="D334" s="40">
        <f>'長期'!D162</f>
        <v>103</v>
      </c>
      <c r="E334" s="40">
        <f t="shared" si="3"/>
        <v>102.976697</v>
      </c>
      <c r="F334" s="40">
        <f t="shared" si="4"/>
        <v>98.39339394</v>
      </c>
    </row>
    <row r="335" ht="12.0" customHeight="1">
      <c r="A335" s="55">
        <f>IF('長期'!A161="","",'長期'!A161)</f>
        <v>45257</v>
      </c>
      <c r="B335" s="40">
        <f t="shared" si="1"/>
        <v>115.8439135</v>
      </c>
      <c r="C335" s="40">
        <f t="shared" si="2"/>
        <v>111.4819567</v>
      </c>
      <c r="D335" s="40">
        <f>'長期'!D161</f>
        <v>104</v>
      </c>
      <c r="E335" s="40">
        <f t="shared" si="3"/>
        <v>102.7580433</v>
      </c>
      <c r="F335" s="40">
        <f t="shared" si="4"/>
        <v>98.39608651</v>
      </c>
    </row>
    <row r="336" ht="12.0" customHeight="1">
      <c r="A336" s="55">
        <f>IF('長期'!A160="","",'長期'!A160)</f>
        <v>45258</v>
      </c>
      <c r="B336" s="40">
        <f t="shared" si="1"/>
        <v>115.4063468</v>
      </c>
      <c r="C336" s="40">
        <f t="shared" si="2"/>
        <v>111.2031734</v>
      </c>
      <c r="D336" s="40">
        <f>'長期'!D160</f>
        <v>111</v>
      </c>
      <c r="E336" s="40">
        <f t="shared" si="3"/>
        <v>102.7968266</v>
      </c>
      <c r="F336" s="40">
        <f t="shared" si="4"/>
        <v>98.59365319</v>
      </c>
    </row>
    <row r="337" ht="12.0" customHeight="1">
      <c r="A337" s="55">
        <f>IF('長期'!A159="","",'長期'!A159)</f>
        <v>45259</v>
      </c>
      <c r="B337" s="40">
        <f t="shared" si="1"/>
        <v>128.5522587</v>
      </c>
      <c r="C337" s="40">
        <f t="shared" si="2"/>
        <v>118.6161294</v>
      </c>
      <c r="D337" s="40">
        <f>'長期'!D159</f>
        <v>152</v>
      </c>
      <c r="E337" s="40">
        <f t="shared" si="3"/>
        <v>98.74387064</v>
      </c>
      <c r="F337" s="40">
        <f t="shared" si="4"/>
        <v>88.80774128</v>
      </c>
    </row>
    <row r="338" ht="12.0" customHeight="1">
      <c r="A338" s="55">
        <f>IF('長期'!A158="","",'長期'!A158)</f>
        <v>45260</v>
      </c>
      <c r="B338" s="40">
        <f t="shared" si="1"/>
        <v>129.3469899</v>
      </c>
      <c r="C338" s="40">
        <f t="shared" si="2"/>
        <v>119.173495</v>
      </c>
      <c r="D338" s="40">
        <f>'長期'!D158</f>
        <v>120</v>
      </c>
      <c r="E338" s="40">
        <f t="shared" si="3"/>
        <v>98.82650503</v>
      </c>
      <c r="F338" s="40">
        <f t="shared" si="4"/>
        <v>88.65301005</v>
      </c>
    </row>
    <row r="339" ht="12.0" customHeight="1">
      <c r="A339" s="55">
        <f>IF('長期'!A157="","",'長期'!A157)</f>
        <v>45261</v>
      </c>
      <c r="B339" s="40">
        <f t="shared" si="1"/>
        <v>129.5513485</v>
      </c>
      <c r="C339" s="40">
        <f t="shared" si="2"/>
        <v>119.3356742</v>
      </c>
      <c r="D339" s="40">
        <f>'長期'!D157</f>
        <v>114</v>
      </c>
      <c r="E339" s="40">
        <f t="shared" si="3"/>
        <v>98.90432577</v>
      </c>
      <c r="F339" s="40">
        <f t="shared" si="4"/>
        <v>88.68865154</v>
      </c>
    </row>
    <row r="340" ht="12.0" customHeight="1">
      <c r="A340" s="55">
        <f>IF('長期'!A156="","",'長期'!A156)</f>
        <v>45264</v>
      </c>
      <c r="B340" s="40">
        <f t="shared" si="1"/>
        <v>130.8129387</v>
      </c>
      <c r="C340" s="40">
        <f t="shared" si="2"/>
        <v>120.2264694</v>
      </c>
      <c r="D340" s="40">
        <f>'長期'!D156</f>
        <v>123</v>
      </c>
      <c r="E340" s="40">
        <f t="shared" si="3"/>
        <v>99.05353065</v>
      </c>
      <c r="F340" s="40">
        <f t="shared" si="4"/>
        <v>88.4670613</v>
      </c>
    </row>
    <row r="341" ht="12.0" customHeight="1">
      <c r="A341" s="55">
        <f>IF('長期'!A155="","",'長期'!A155)</f>
        <v>45265</v>
      </c>
      <c r="B341" s="40">
        <f t="shared" si="1"/>
        <v>131.5715862</v>
      </c>
      <c r="C341" s="40">
        <f t="shared" si="2"/>
        <v>120.7857931</v>
      </c>
      <c r="D341" s="40">
        <f>'長期'!D155</f>
        <v>120</v>
      </c>
      <c r="E341" s="40">
        <f t="shared" si="3"/>
        <v>99.21420688</v>
      </c>
      <c r="F341" s="40">
        <f t="shared" si="4"/>
        <v>88.42841375</v>
      </c>
    </row>
    <row r="342" ht="12.0" customHeight="1">
      <c r="A342" s="55">
        <f>IF('長期'!A154="","",'長期'!A154)</f>
        <v>45266</v>
      </c>
      <c r="B342" s="40">
        <f t="shared" si="1"/>
        <v>132.9190048</v>
      </c>
      <c r="C342" s="40">
        <f t="shared" si="2"/>
        <v>121.7995024</v>
      </c>
      <c r="D342" s="40">
        <f>'長期'!D154</f>
        <v>124</v>
      </c>
      <c r="E342" s="40">
        <f t="shared" si="3"/>
        <v>99.56049761</v>
      </c>
      <c r="F342" s="40">
        <f t="shared" si="4"/>
        <v>88.44099523</v>
      </c>
    </row>
    <row r="343" ht="12.0" customHeight="1">
      <c r="A343" s="55">
        <f>IF('長期'!A153="","",'長期'!A153)</f>
        <v>45267</v>
      </c>
      <c r="B343" s="40">
        <f t="shared" si="1"/>
        <v>133.5897967</v>
      </c>
      <c r="C343" s="40">
        <f t="shared" si="2"/>
        <v>122.3148984</v>
      </c>
      <c r="D343" s="40">
        <f>'長期'!D153</f>
        <v>120</v>
      </c>
      <c r="E343" s="40">
        <f t="shared" si="3"/>
        <v>99.76510163</v>
      </c>
      <c r="F343" s="40">
        <f t="shared" si="4"/>
        <v>88.49020325</v>
      </c>
    </row>
    <row r="344" ht="12.0" customHeight="1">
      <c r="A344" s="55">
        <f>IF('長期'!A152="","",'長期'!A152)</f>
        <v>45268</v>
      </c>
      <c r="B344" s="40">
        <f t="shared" si="1"/>
        <v>134.3389083</v>
      </c>
      <c r="C344" s="40">
        <f t="shared" si="2"/>
        <v>122.8894541</v>
      </c>
      <c r="D344" s="40">
        <f>'長期'!D152</f>
        <v>121</v>
      </c>
      <c r="E344" s="40">
        <f t="shared" si="3"/>
        <v>99.99054586</v>
      </c>
      <c r="F344" s="40">
        <f t="shared" si="4"/>
        <v>88.54109173</v>
      </c>
    </row>
    <row r="345" ht="12.0" customHeight="1">
      <c r="A345" s="55">
        <f>IF('長期'!A151="","",'長期'!A151)</f>
        <v>45271</v>
      </c>
      <c r="B345" s="40">
        <f t="shared" si="1"/>
        <v>135.2417922</v>
      </c>
      <c r="C345" s="40">
        <f t="shared" si="2"/>
        <v>123.5608961</v>
      </c>
      <c r="D345" s="40">
        <f>'長期'!D151</f>
        <v>123</v>
      </c>
      <c r="E345" s="40">
        <f t="shared" si="3"/>
        <v>100.1991039</v>
      </c>
      <c r="F345" s="40">
        <f t="shared" si="4"/>
        <v>88.51820783</v>
      </c>
    </row>
    <row r="346" ht="12.0" customHeight="1">
      <c r="A346" s="55">
        <f>IF('長期'!A150="","",'長期'!A150)</f>
        <v>45272</v>
      </c>
      <c r="B346" s="40">
        <f t="shared" si="1"/>
        <v>135.495949</v>
      </c>
      <c r="C346" s="40">
        <f t="shared" si="2"/>
        <v>123.7879745</v>
      </c>
      <c r="D346" s="40">
        <f>'長期'!D150</f>
        <v>116</v>
      </c>
      <c r="E346" s="40">
        <f t="shared" si="3"/>
        <v>100.3720255</v>
      </c>
      <c r="F346" s="40">
        <f t="shared" si="4"/>
        <v>88.66405102</v>
      </c>
    </row>
    <row r="347" ht="12.0" customHeight="1">
      <c r="A347" s="55">
        <f>IF('長期'!A149="","",'長期'!A149)</f>
        <v>45273</v>
      </c>
      <c r="B347" s="40">
        <f t="shared" si="1"/>
        <v>135.9990039</v>
      </c>
      <c r="C347" s="40">
        <f t="shared" si="2"/>
        <v>124.219502</v>
      </c>
      <c r="D347" s="40">
        <f>'長期'!D149</f>
        <v>119</v>
      </c>
      <c r="E347" s="40">
        <f t="shared" si="3"/>
        <v>100.660498</v>
      </c>
      <c r="F347" s="40">
        <f t="shared" si="4"/>
        <v>88.88099606</v>
      </c>
    </row>
    <row r="348" ht="12.0" customHeight="1">
      <c r="A348" s="55">
        <f>IF('長期'!A148="","",'長期'!A148)</f>
        <v>45274</v>
      </c>
      <c r="B348" s="40">
        <f t="shared" si="1"/>
        <v>136.076519</v>
      </c>
      <c r="C348" s="40">
        <f t="shared" si="2"/>
        <v>124.3182595</v>
      </c>
      <c r="D348" s="40">
        <f>'長期'!D148</f>
        <v>112</v>
      </c>
      <c r="E348" s="40">
        <f t="shared" si="3"/>
        <v>100.8017405</v>
      </c>
      <c r="F348" s="40">
        <f t="shared" si="4"/>
        <v>89.04348098</v>
      </c>
    </row>
    <row r="349" ht="12.0" customHeight="1">
      <c r="A349" s="55">
        <f>IF('長期'!A147="","",'長期'!A147)</f>
        <v>45275</v>
      </c>
      <c r="B349" s="40">
        <f t="shared" si="1"/>
        <v>136.244971</v>
      </c>
      <c r="C349" s="40">
        <f t="shared" si="2"/>
        <v>124.5224855</v>
      </c>
      <c r="D349" s="40">
        <f>'長期'!D147</f>
        <v>114</v>
      </c>
      <c r="E349" s="40">
        <f t="shared" si="3"/>
        <v>101.0775145</v>
      </c>
      <c r="F349" s="40">
        <f t="shared" si="4"/>
        <v>89.35502897</v>
      </c>
    </row>
    <row r="350" ht="12.0" customHeight="1">
      <c r="A350" s="55">
        <f>IF('長期'!A146="","",'長期'!A146)</f>
        <v>45278</v>
      </c>
      <c r="B350" s="40">
        <f t="shared" si="1"/>
        <v>136.445761</v>
      </c>
      <c r="C350" s="40">
        <f t="shared" si="2"/>
        <v>124.8028805</v>
      </c>
      <c r="D350" s="40">
        <f>'長期'!D146</f>
        <v>115</v>
      </c>
      <c r="E350" s="40">
        <f t="shared" si="3"/>
        <v>101.5171195</v>
      </c>
      <c r="F350" s="40">
        <f t="shared" si="4"/>
        <v>89.87423897</v>
      </c>
    </row>
    <row r="351" ht="12.0" customHeight="1">
      <c r="A351" s="55">
        <f>IF('長期'!A145="","",'長期'!A145)</f>
        <v>45279</v>
      </c>
      <c r="B351" s="40">
        <f t="shared" si="1"/>
        <v>136.5782506</v>
      </c>
      <c r="C351" s="40">
        <f t="shared" si="2"/>
        <v>125.0891253</v>
      </c>
      <c r="D351" s="40">
        <f>'長期'!D145</f>
        <v>115</v>
      </c>
      <c r="E351" s="40">
        <f t="shared" si="3"/>
        <v>102.1108747</v>
      </c>
      <c r="F351" s="40">
        <f t="shared" si="4"/>
        <v>90.62174941</v>
      </c>
    </row>
    <row r="352" ht="12.0" customHeight="1">
      <c r="A352" s="55">
        <f>IF('長期'!A144="","",'長期'!A144)</f>
        <v>45280</v>
      </c>
      <c r="B352" s="40">
        <f t="shared" si="1"/>
        <v>136.4266031</v>
      </c>
      <c r="C352" s="40">
        <f t="shared" si="2"/>
        <v>125.2333016</v>
      </c>
      <c r="D352" s="40">
        <f>'長期'!D144</f>
        <v>112</v>
      </c>
      <c r="E352" s="40">
        <f t="shared" si="3"/>
        <v>102.8466984</v>
      </c>
      <c r="F352" s="40">
        <f t="shared" si="4"/>
        <v>91.65339686</v>
      </c>
    </row>
    <row r="353" ht="12.0" customHeight="1">
      <c r="A353" s="55">
        <f>IF('長期'!A143="","",'長期'!A143)</f>
        <v>45281</v>
      </c>
      <c r="B353" s="40">
        <f t="shared" si="1"/>
        <v>136.3135874</v>
      </c>
      <c r="C353" s="40">
        <f t="shared" si="2"/>
        <v>125.3367937</v>
      </c>
      <c r="D353" s="40">
        <f>'長期'!D143</f>
        <v>111</v>
      </c>
      <c r="E353" s="40">
        <f t="shared" si="3"/>
        <v>103.3832063</v>
      </c>
      <c r="F353" s="40">
        <f t="shared" si="4"/>
        <v>92.40641259</v>
      </c>
    </row>
    <row r="354" ht="12.0" customHeight="1">
      <c r="A354" s="55">
        <f>IF('長期'!A142="","",'長期'!A142)</f>
        <v>45282</v>
      </c>
      <c r="B354" s="40">
        <f t="shared" si="1"/>
        <v>136.0010237</v>
      </c>
      <c r="C354" s="40">
        <f t="shared" si="2"/>
        <v>125.3205118</v>
      </c>
      <c r="D354" s="40">
        <f>'長期'!D142</f>
        <v>107</v>
      </c>
      <c r="E354" s="40">
        <f t="shared" si="3"/>
        <v>103.9594882</v>
      </c>
      <c r="F354" s="40">
        <f t="shared" si="4"/>
        <v>93.2789763</v>
      </c>
    </row>
    <row r="355" ht="12.0" customHeight="1">
      <c r="A355" s="55">
        <f>IF('長期'!A141="","",'長期'!A141)</f>
        <v>45285</v>
      </c>
      <c r="B355" s="40">
        <f t="shared" si="1"/>
        <v>135.4368239</v>
      </c>
      <c r="C355" s="40">
        <f t="shared" si="2"/>
        <v>125.2784119</v>
      </c>
      <c r="D355" s="40">
        <f>'長期'!D141</f>
        <v>110</v>
      </c>
      <c r="E355" s="40">
        <f t="shared" si="3"/>
        <v>104.9615881</v>
      </c>
      <c r="F355" s="40">
        <f t="shared" si="4"/>
        <v>94.8031761</v>
      </c>
    </row>
    <row r="356" ht="12.0" customHeight="1">
      <c r="A356" s="55">
        <f>IF('長期'!A140="","",'長期'!A140)</f>
        <v>45286</v>
      </c>
      <c r="B356" s="40">
        <f t="shared" si="1"/>
        <v>135.3494417</v>
      </c>
      <c r="C356" s="40">
        <f t="shared" si="2"/>
        <v>125.2747208</v>
      </c>
      <c r="D356" s="40">
        <f>'長期'!D140</f>
        <v>106</v>
      </c>
      <c r="E356" s="40">
        <f t="shared" si="3"/>
        <v>105.1252792</v>
      </c>
      <c r="F356" s="40">
        <f t="shared" si="4"/>
        <v>95.05055832</v>
      </c>
    </row>
    <row r="357" ht="12.0" customHeight="1">
      <c r="A357" s="55">
        <f>IF('長期'!A139="","",'長期'!A139)</f>
        <v>45287</v>
      </c>
      <c r="B357" s="40">
        <f t="shared" si="1"/>
        <v>135.108432</v>
      </c>
      <c r="C357" s="40">
        <f t="shared" si="2"/>
        <v>125.314216</v>
      </c>
      <c r="D357" s="40">
        <f>'長期'!D139</f>
        <v>111</v>
      </c>
      <c r="E357" s="40">
        <f t="shared" si="3"/>
        <v>105.725784</v>
      </c>
      <c r="F357" s="40">
        <f t="shared" si="4"/>
        <v>95.93156804</v>
      </c>
    </row>
    <row r="358" ht="12.0" customHeight="1">
      <c r="A358" s="55">
        <f>IF('長期'!A138="","",'長期'!A138)</f>
        <v>45288</v>
      </c>
      <c r="B358" s="40">
        <f t="shared" si="1"/>
        <v>134.9572441</v>
      </c>
      <c r="C358" s="40">
        <f t="shared" si="2"/>
        <v>125.378622</v>
      </c>
      <c r="D358" s="40">
        <f>'長期'!D138</f>
        <v>112</v>
      </c>
      <c r="E358" s="40">
        <f t="shared" si="3"/>
        <v>106.221378</v>
      </c>
      <c r="F358" s="40">
        <f t="shared" si="4"/>
        <v>96.64275594</v>
      </c>
    </row>
    <row r="359" ht="12.0" customHeight="1">
      <c r="A359" s="55">
        <f>IF('長期'!A137="","",'長期'!A137)</f>
        <v>45289</v>
      </c>
      <c r="B359" s="40">
        <f t="shared" si="1"/>
        <v>134.6481255</v>
      </c>
      <c r="C359" s="40">
        <f t="shared" si="2"/>
        <v>125.4240627</v>
      </c>
      <c r="D359" s="40">
        <f>'長期'!D137</f>
        <v>113</v>
      </c>
      <c r="E359" s="40">
        <f t="shared" si="3"/>
        <v>106.9759373</v>
      </c>
      <c r="F359" s="40">
        <f t="shared" si="4"/>
        <v>97.75187453</v>
      </c>
    </row>
    <row r="360" ht="12.0" customHeight="1">
      <c r="A360" s="55">
        <f>IF('長期'!A136="","",'長期'!A136)</f>
        <v>45295</v>
      </c>
      <c r="B360" s="40">
        <f t="shared" si="1"/>
        <v>134.3670106</v>
      </c>
      <c r="C360" s="40">
        <f t="shared" si="2"/>
        <v>125.4835053</v>
      </c>
      <c r="D360" s="40">
        <f>'長期'!D136</f>
        <v>114</v>
      </c>
      <c r="E360" s="40">
        <f t="shared" si="3"/>
        <v>107.7164947</v>
      </c>
      <c r="F360" s="40">
        <f t="shared" si="4"/>
        <v>98.83298937</v>
      </c>
    </row>
    <row r="361" ht="12.0" customHeight="1">
      <c r="A361" s="55">
        <f>IF('長期'!A135="","",'長期'!A135)</f>
        <v>45296</v>
      </c>
      <c r="B361" s="40">
        <f t="shared" si="1"/>
        <v>134.3839539</v>
      </c>
      <c r="C361" s="40">
        <f t="shared" si="2"/>
        <v>125.471977</v>
      </c>
      <c r="D361" s="40">
        <f>'長期'!D135</f>
        <v>110</v>
      </c>
      <c r="E361" s="40">
        <f t="shared" si="3"/>
        <v>107.648023</v>
      </c>
      <c r="F361" s="40">
        <f t="shared" si="4"/>
        <v>98.73604608</v>
      </c>
    </row>
    <row r="362" ht="12.0" customHeight="1">
      <c r="A362" s="55">
        <f>IF('長期'!A134="","",'長期'!A134)</f>
        <v>45300</v>
      </c>
      <c r="B362" s="40">
        <f t="shared" si="1"/>
        <v>125.0313296</v>
      </c>
      <c r="C362" s="40">
        <f t="shared" si="2"/>
        <v>120.0356648</v>
      </c>
      <c r="D362" s="40">
        <f>'長期'!D134</f>
        <v>114</v>
      </c>
      <c r="E362" s="40">
        <f t="shared" si="3"/>
        <v>110.0443352</v>
      </c>
      <c r="F362" s="40">
        <f t="shared" si="4"/>
        <v>105.0486704</v>
      </c>
    </row>
    <row r="363" ht="12.0" customHeight="1">
      <c r="A363" s="55">
        <f>IF('長期'!A133="","",'長期'!A133)</f>
        <v>45301</v>
      </c>
      <c r="B363" s="40">
        <f t="shared" si="1"/>
        <v>124.5627207</v>
      </c>
      <c r="C363" s="40">
        <f t="shared" si="2"/>
        <v>119.6613604</v>
      </c>
      <c r="D363" s="40">
        <f>'長期'!D133</f>
        <v>113</v>
      </c>
      <c r="E363" s="40">
        <f t="shared" si="3"/>
        <v>109.8586396</v>
      </c>
      <c r="F363" s="40">
        <f t="shared" si="4"/>
        <v>104.9572793</v>
      </c>
    </row>
    <row r="364" ht="12.0" customHeight="1">
      <c r="A364" s="55">
        <f>IF('長期'!A132="","",'長期'!A132)</f>
        <v>45302</v>
      </c>
      <c r="B364" s="40">
        <f t="shared" si="1"/>
        <v>124.5437807</v>
      </c>
      <c r="C364" s="40">
        <f t="shared" si="2"/>
        <v>119.6318903</v>
      </c>
      <c r="D364" s="40">
        <f>'長期'!D132</f>
        <v>113</v>
      </c>
      <c r="E364" s="40">
        <f t="shared" si="3"/>
        <v>109.8081097</v>
      </c>
      <c r="F364" s="40">
        <f t="shared" si="4"/>
        <v>104.8962193</v>
      </c>
    </row>
    <row r="365" ht="12.0" customHeight="1">
      <c r="A365" s="55">
        <f>IF('長期'!A131="","",'長期'!A131)</f>
        <v>45303</v>
      </c>
      <c r="B365" s="40">
        <f t="shared" si="1"/>
        <v>123.5630479</v>
      </c>
      <c r="C365" s="40">
        <f t="shared" si="2"/>
        <v>118.881524</v>
      </c>
      <c r="D365" s="40">
        <f>'長期'!D131</f>
        <v>110</v>
      </c>
      <c r="E365" s="40">
        <f t="shared" si="3"/>
        <v>109.518476</v>
      </c>
      <c r="F365" s="40">
        <f t="shared" si="4"/>
        <v>104.8369521</v>
      </c>
    </row>
    <row r="366" ht="12.0" customHeight="1">
      <c r="A366" s="55">
        <f>IF('長期'!A130="","",'長期'!A130)</f>
        <v>45306</v>
      </c>
      <c r="B366" s="40">
        <f t="shared" si="1"/>
        <v>123.0553851</v>
      </c>
      <c r="C366" s="40">
        <f t="shared" si="2"/>
        <v>118.5276926</v>
      </c>
      <c r="D366" s="40">
        <f>'長期'!D130</f>
        <v>115</v>
      </c>
      <c r="E366" s="40">
        <f t="shared" si="3"/>
        <v>109.4723074</v>
      </c>
      <c r="F366" s="40">
        <f t="shared" si="4"/>
        <v>104.9446149</v>
      </c>
    </row>
    <row r="367" ht="12.0" customHeight="1">
      <c r="A367" s="55">
        <f>IF('長期'!A129="","",'長期'!A129)</f>
        <v>45307</v>
      </c>
      <c r="B367" s="40">
        <f t="shared" si="1"/>
        <v>121.5847381</v>
      </c>
      <c r="C367" s="40">
        <f t="shared" si="2"/>
        <v>117.552369</v>
      </c>
      <c r="D367" s="40">
        <f>'長期'!D129</f>
        <v>112</v>
      </c>
      <c r="E367" s="40">
        <f t="shared" si="3"/>
        <v>109.487631</v>
      </c>
      <c r="F367" s="40">
        <f t="shared" si="4"/>
        <v>105.4552619</v>
      </c>
    </row>
    <row r="368" ht="12.0" customHeight="1">
      <c r="A368" s="55">
        <f>IF('長期'!A128="","",'長期'!A128)</f>
        <v>45308</v>
      </c>
      <c r="B368" s="40">
        <f t="shared" si="1"/>
        <v>120.9515136</v>
      </c>
      <c r="C368" s="40">
        <f t="shared" si="2"/>
        <v>117.1357568</v>
      </c>
      <c r="D368" s="40">
        <f>'長期'!D128</f>
        <v>115</v>
      </c>
      <c r="E368" s="40">
        <f t="shared" si="3"/>
        <v>109.5042432</v>
      </c>
      <c r="F368" s="40">
        <f t="shared" si="4"/>
        <v>105.6884864</v>
      </c>
    </row>
    <row r="369" ht="12.0" customHeight="1">
      <c r="A369" s="55">
        <f>IF('長期'!A127="","",'長期'!A127)</f>
        <v>45309</v>
      </c>
      <c r="B369" s="40">
        <f t="shared" si="1"/>
        <v>120.2705555</v>
      </c>
      <c r="C369" s="40">
        <f t="shared" si="2"/>
        <v>116.7152778</v>
      </c>
      <c r="D369" s="40">
        <f>'長期'!D127</f>
        <v>117</v>
      </c>
      <c r="E369" s="40">
        <f t="shared" si="3"/>
        <v>109.6047222</v>
      </c>
      <c r="F369" s="40">
        <f t="shared" si="4"/>
        <v>106.0494445</v>
      </c>
    </row>
    <row r="370" ht="12.0" customHeight="1">
      <c r="A370" s="55">
        <f>IF('長期'!A126="","",'長期'!A126)</f>
        <v>45310</v>
      </c>
      <c r="B370" s="40">
        <f t="shared" si="1"/>
        <v>120.2705555</v>
      </c>
      <c r="C370" s="40">
        <f t="shared" si="2"/>
        <v>116.7152778</v>
      </c>
      <c r="D370" s="40">
        <f>'長期'!D126</f>
        <v>123</v>
      </c>
      <c r="E370" s="40">
        <f t="shared" si="3"/>
        <v>109.6047222</v>
      </c>
      <c r="F370" s="40">
        <f t="shared" si="4"/>
        <v>106.0494445</v>
      </c>
    </row>
    <row r="371" ht="12.0" customHeight="1">
      <c r="A371" s="55">
        <f>IF('長期'!A125="","",'長期'!A125)</f>
        <v>45313</v>
      </c>
      <c r="B371" s="40">
        <f t="shared" si="1"/>
        <v>123.1619126</v>
      </c>
      <c r="C371" s="40">
        <f t="shared" si="2"/>
        <v>118.4209563</v>
      </c>
      <c r="D371" s="40">
        <f>'長期'!D125</f>
        <v>129</v>
      </c>
      <c r="E371" s="40">
        <f t="shared" si="3"/>
        <v>108.9390437</v>
      </c>
      <c r="F371" s="40">
        <f t="shared" si="4"/>
        <v>104.1980874</v>
      </c>
    </row>
    <row r="372" ht="12.0" customHeight="1">
      <c r="A372" s="55">
        <f>IF('長期'!A124="","",'長期'!A124)</f>
        <v>45314</v>
      </c>
      <c r="B372" s="40">
        <f t="shared" si="1"/>
        <v>127.2554772</v>
      </c>
      <c r="C372" s="40">
        <f t="shared" si="2"/>
        <v>120.8077386</v>
      </c>
      <c r="D372" s="40">
        <f>'長期'!D124</f>
        <v>136</v>
      </c>
      <c r="E372" s="40">
        <f t="shared" si="3"/>
        <v>107.9122614</v>
      </c>
      <c r="F372" s="40">
        <f t="shared" si="4"/>
        <v>101.4645228</v>
      </c>
    </row>
    <row r="373" ht="12.0" customHeight="1">
      <c r="A373" s="55">
        <f>IF('長期'!A123="","",'長期'!A123)</f>
        <v>45315</v>
      </c>
      <c r="B373" s="40">
        <f t="shared" si="1"/>
        <v>128.9522997</v>
      </c>
      <c r="C373" s="40">
        <f t="shared" si="2"/>
        <v>121.9761498</v>
      </c>
      <c r="D373" s="40">
        <f>'長期'!D123</f>
        <v>128</v>
      </c>
      <c r="E373" s="40">
        <f t="shared" si="3"/>
        <v>108.0238502</v>
      </c>
      <c r="F373" s="40">
        <f t="shared" si="4"/>
        <v>101.0477003</v>
      </c>
    </row>
    <row r="374" ht="12.0" customHeight="1">
      <c r="A374" s="55">
        <f>IF('長期'!A122="","",'長期'!A122)</f>
        <v>45316</v>
      </c>
      <c r="B374" s="40">
        <f t="shared" si="1"/>
        <v>130.0987095</v>
      </c>
      <c r="C374" s="40">
        <f t="shared" si="2"/>
        <v>122.7893547</v>
      </c>
      <c r="D374" s="40">
        <f>'長期'!D122</f>
        <v>126</v>
      </c>
      <c r="E374" s="40">
        <f t="shared" si="3"/>
        <v>108.1706453</v>
      </c>
      <c r="F374" s="40">
        <f t="shared" si="4"/>
        <v>100.8612905</v>
      </c>
    </row>
    <row r="375" ht="12.0" customHeight="1">
      <c r="A375" s="55">
        <f>IF('長期'!A121="","",'長期'!A121)</f>
        <v>45317</v>
      </c>
      <c r="B375" s="40">
        <f t="shared" si="1"/>
        <v>130.6067729</v>
      </c>
      <c r="C375" s="40">
        <f t="shared" si="2"/>
        <v>123.1833865</v>
      </c>
      <c r="D375" s="40">
        <f>'長期'!D121</f>
        <v>122</v>
      </c>
      <c r="E375" s="40">
        <f t="shared" si="3"/>
        <v>108.3366135</v>
      </c>
      <c r="F375" s="40">
        <f t="shared" si="4"/>
        <v>100.9132271</v>
      </c>
    </row>
    <row r="376" ht="12.0" customHeight="1">
      <c r="A376" s="55">
        <f>IF('長期'!A120="","",'長期'!A120)</f>
        <v>45320</v>
      </c>
      <c r="B376" s="40">
        <f t="shared" si="1"/>
        <v>131.0896955</v>
      </c>
      <c r="C376" s="40">
        <f t="shared" si="2"/>
        <v>123.5648477</v>
      </c>
      <c r="D376" s="40">
        <f>'長期'!D120</f>
        <v>122</v>
      </c>
      <c r="E376" s="40">
        <f t="shared" si="3"/>
        <v>108.5151523</v>
      </c>
      <c r="F376" s="40">
        <f t="shared" si="4"/>
        <v>100.9903045</v>
      </c>
    </row>
    <row r="377" ht="12.0" customHeight="1">
      <c r="A377" s="55">
        <f>IF('長期'!A119="","",'長期'!A119)</f>
        <v>45321</v>
      </c>
      <c r="B377" s="40">
        <f t="shared" si="1"/>
        <v>131.3168886</v>
      </c>
      <c r="C377" s="40">
        <f t="shared" si="2"/>
        <v>123.8184443</v>
      </c>
      <c r="D377" s="40">
        <f>'長期'!D119</f>
        <v>119</v>
      </c>
      <c r="E377" s="40">
        <f t="shared" si="3"/>
        <v>108.8215557</v>
      </c>
      <c r="F377" s="40">
        <f t="shared" si="4"/>
        <v>101.3231114</v>
      </c>
    </row>
    <row r="378" ht="12.0" customHeight="1">
      <c r="A378" s="55">
        <f>IF('長期'!A118="","",'長期'!A118)</f>
        <v>45322</v>
      </c>
      <c r="B378" s="40">
        <f t="shared" si="1"/>
        <v>131.3537453</v>
      </c>
      <c r="C378" s="40">
        <f t="shared" si="2"/>
        <v>123.9368727</v>
      </c>
      <c r="D378" s="40">
        <f>'長期'!D118</f>
        <v>116</v>
      </c>
      <c r="E378" s="40">
        <f t="shared" si="3"/>
        <v>109.1031273</v>
      </c>
      <c r="F378" s="40">
        <f t="shared" si="4"/>
        <v>101.6862547</v>
      </c>
    </row>
    <row r="379" ht="12.0" customHeight="1">
      <c r="A379" s="55">
        <f>IF('長期'!A117="","",'長期'!A117)</f>
        <v>45323</v>
      </c>
      <c r="B379" s="40">
        <f t="shared" si="1"/>
        <v>131.1540956</v>
      </c>
      <c r="C379" s="40">
        <f t="shared" si="2"/>
        <v>123.9970478</v>
      </c>
      <c r="D379" s="40">
        <f>'長期'!D117</f>
        <v>115</v>
      </c>
      <c r="E379" s="40">
        <f t="shared" si="3"/>
        <v>109.6829522</v>
      </c>
      <c r="F379" s="40">
        <f t="shared" si="4"/>
        <v>102.5259044</v>
      </c>
    </row>
    <row r="380" ht="12.0" customHeight="1">
      <c r="A380" s="55">
        <f>IF('長期'!A116="","",'長期'!A116)</f>
        <v>45324</v>
      </c>
      <c r="B380" s="40">
        <f t="shared" si="1"/>
        <v>131.1147189</v>
      </c>
      <c r="C380" s="40">
        <f t="shared" si="2"/>
        <v>124.0973594</v>
      </c>
      <c r="D380" s="40">
        <f>'長期'!D116</f>
        <v>116</v>
      </c>
      <c r="E380" s="40">
        <f t="shared" si="3"/>
        <v>110.0626406</v>
      </c>
      <c r="F380" s="40">
        <f t="shared" si="4"/>
        <v>103.0452811</v>
      </c>
    </row>
    <row r="381" ht="12.0" customHeight="1">
      <c r="A381" s="55">
        <f>IF('長期'!A115="","",'長期'!A115)</f>
        <v>45327</v>
      </c>
      <c r="B381" s="40">
        <f t="shared" si="1"/>
        <v>130.729166</v>
      </c>
      <c r="C381" s="40">
        <f t="shared" si="2"/>
        <v>124.064583</v>
      </c>
      <c r="D381" s="40">
        <f>'長期'!D115</f>
        <v>114</v>
      </c>
      <c r="E381" s="40">
        <f t="shared" si="3"/>
        <v>110.735417</v>
      </c>
      <c r="F381" s="40">
        <f t="shared" si="4"/>
        <v>104.070834</v>
      </c>
    </row>
    <row r="382" ht="12.0" customHeight="1">
      <c r="A382" s="55">
        <f>IF('長期'!A114="","",'長期'!A114)</f>
        <v>45328</v>
      </c>
      <c r="B382" s="40">
        <f t="shared" si="1"/>
        <v>130.7749171</v>
      </c>
      <c r="C382" s="40">
        <f t="shared" si="2"/>
        <v>124.0674585</v>
      </c>
      <c r="D382" s="40">
        <f>'長期'!D114</f>
        <v>110</v>
      </c>
      <c r="E382" s="40">
        <f t="shared" si="3"/>
        <v>110.6525415</v>
      </c>
      <c r="F382" s="40">
        <f t="shared" si="4"/>
        <v>103.9450829</v>
      </c>
    </row>
    <row r="383" ht="12.0" customHeight="1">
      <c r="A383" s="55">
        <f>IF('長期'!A113="","",'長期'!A113)</f>
        <v>45329</v>
      </c>
      <c r="B383" s="40">
        <f t="shared" si="1"/>
        <v>130.8510476</v>
      </c>
      <c r="C383" s="40">
        <f t="shared" si="2"/>
        <v>124.0655238</v>
      </c>
      <c r="D383" s="40">
        <f>'長期'!D113</f>
        <v>110</v>
      </c>
      <c r="E383" s="40">
        <f t="shared" si="3"/>
        <v>110.4944762</v>
      </c>
      <c r="F383" s="40">
        <f t="shared" si="4"/>
        <v>103.7089524</v>
      </c>
    </row>
    <row r="384" ht="12.0" customHeight="1">
      <c r="A384" s="55">
        <f>IF('長期'!A112="","",'長期'!A112)</f>
        <v>45330</v>
      </c>
      <c r="B384" s="40">
        <f t="shared" si="1"/>
        <v>130.940179</v>
      </c>
      <c r="C384" s="40">
        <f t="shared" si="2"/>
        <v>124.0500895</v>
      </c>
      <c r="D384" s="40">
        <f>'長期'!D112</f>
        <v>110</v>
      </c>
      <c r="E384" s="40">
        <f t="shared" si="3"/>
        <v>110.2699105</v>
      </c>
      <c r="F384" s="40">
        <f t="shared" si="4"/>
        <v>103.379821</v>
      </c>
    </row>
    <row r="385" ht="12.0" customHeight="1">
      <c r="A385" s="55">
        <f>IF('長期'!A111="","",'長期'!A111)</f>
        <v>45331</v>
      </c>
      <c r="B385" s="40">
        <f t="shared" si="1"/>
        <v>131.1317322</v>
      </c>
      <c r="C385" s="40">
        <f t="shared" si="2"/>
        <v>124.0258661</v>
      </c>
      <c r="D385" s="40">
        <f>'長期'!D111</f>
        <v>108</v>
      </c>
      <c r="E385" s="40">
        <f t="shared" si="3"/>
        <v>109.8141339</v>
      </c>
      <c r="F385" s="40">
        <f t="shared" si="4"/>
        <v>102.7082678</v>
      </c>
    </row>
    <row r="386" ht="12.0" customHeight="1">
      <c r="A386" s="55">
        <f>IF('長期'!A110="","",'長期'!A110)</f>
        <v>45335</v>
      </c>
      <c r="B386" s="40">
        <f t="shared" si="1"/>
        <v>132.7297473</v>
      </c>
      <c r="C386" s="40">
        <f t="shared" si="2"/>
        <v>125.2448736</v>
      </c>
      <c r="D386" s="40">
        <f>'長期'!D110</f>
        <v>131</v>
      </c>
      <c r="E386" s="40">
        <f t="shared" si="3"/>
        <v>110.2751264</v>
      </c>
      <c r="F386" s="40">
        <f t="shared" si="4"/>
        <v>102.7902527</v>
      </c>
    </row>
    <row r="387" ht="12.0" customHeight="1">
      <c r="A387" s="55">
        <f>IF('長期'!A109="","",'長期'!A109)</f>
        <v>45336</v>
      </c>
      <c r="B387" s="40">
        <f t="shared" si="1"/>
        <v>141.7341591</v>
      </c>
      <c r="C387" s="40">
        <f t="shared" si="2"/>
        <v>130.6470796</v>
      </c>
      <c r="D387" s="40">
        <f>'長期'!D109</f>
        <v>159</v>
      </c>
      <c r="E387" s="40">
        <f t="shared" si="3"/>
        <v>108.4729204</v>
      </c>
      <c r="F387" s="40">
        <f t="shared" si="4"/>
        <v>97.38584087</v>
      </c>
    </row>
    <row r="388" ht="12.0" customHeight="1">
      <c r="A388" s="55">
        <f>IF('長期'!A108="","",'長期'!A108)</f>
        <v>45337</v>
      </c>
      <c r="B388" s="40">
        <f t="shared" si="1"/>
        <v>145.6816504</v>
      </c>
      <c r="C388" s="40">
        <f t="shared" si="2"/>
        <v>133.3208252</v>
      </c>
      <c r="D388" s="40">
        <f>'長期'!D108</f>
        <v>148</v>
      </c>
      <c r="E388" s="40">
        <f t="shared" si="3"/>
        <v>108.5991748</v>
      </c>
      <c r="F388" s="40">
        <f t="shared" si="4"/>
        <v>96.23834957</v>
      </c>
    </row>
    <row r="389" ht="12.0" customHeight="1">
      <c r="A389" s="55">
        <f>IF('長期'!A107="","",'長期'!A107)</f>
        <v>45338</v>
      </c>
      <c r="B389" s="40">
        <f t="shared" si="1"/>
        <v>150.1467118</v>
      </c>
      <c r="C389" s="40">
        <f t="shared" si="2"/>
        <v>136.3533559</v>
      </c>
      <c r="D389" s="40">
        <f>'長期'!D107</f>
        <v>153</v>
      </c>
      <c r="E389" s="40">
        <f t="shared" si="3"/>
        <v>108.7666441</v>
      </c>
      <c r="F389" s="40">
        <f t="shared" si="4"/>
        <v>94.97328822</v>
      </c>
    </row>
    <row r="390" ht="12.0" customHeight="1">
      <c r="A390" s="55">
        <f>IF('長期'!A106="","",'長期'!A106)</f>
        <v>45341</v>
      </c>
      <c r="B390" s="40">
        <f t="shared" si="1"/>
        <v>155.642981</v>
      </c>
      <c r="C390" s="40">
        <f t="shared" si="2"/>
        <v>140.1214905</v>
      </c>
      <c r="D390" s="40">
        <f>'長期'!D106</f>
        <v>161</v>
      </c>
      <c r="E390" s="40">
        <f t="shared" si="3"/>
        <v>109.0785095</v>
      </c>
      <c r="F390" s="40">
        <f t="shared" si="4"/>
        <v>93.55701904</v>
      </c>
    </row>
    <row r="391" ht="12.0" customHeight="1">
      <c r="A391" s="55">
        <f>IF('長期'!A105="","",'長期'!A105)</f>
        <v>45342</v>
      </c>
      <c r="B391" s="40">
        <f t="shared" si="1"/>
        <v>159.0572137</v>
      </c>
      <c r="C391" s="40">
        <f t="shared" si="2"/>
        <v>142.6086068</v>
      </c>
      <c r="D391" s="40">
        <f>'長期'!D105</f>
        <v>154</v>
      </c>
      <c r="E391" s="40">
        <f t="shared" si="3"/>
        <v>109.7113932</v>
      </c>
      <c r="F391" s="40">
        <f t="shared" si="4"/>
        <v>93.26278634</v>
      </c>
    </row>
    <row r="392" ht="12.0" customHeight="1">
      <c r="A392" s="55">
        <f>IF('長期'!A104="","",'長期'!A104)</f>
        <v>45343</v>
      </c>
      <c r="B392" s="40">
        <f t="shared" si="1"/>
        <v>160.1819334</v>
      </c>
      <c r="C392" s="40">
        <f t="shared" si="2"/>
        <v>143.7509667</v>
      </c>
      <c r="D392" s="40">
        <f>'長期'!D104</f>
        <v>141</v>
      </c>
      <c r="E392" s="40">
        <f t="shared" si="3"/>
        <v>110.8890333</v>
      </c>
      <c r="F392" s="40">
        <f t="shared" si="4"/>
        <v>94.4580666</v>
      </c>
    </row>
    <row r="393" ht="12.0" customHeight="1">
      <c r="A393" s="55">
        <f>IF('長期'!A103="","",'長期'!A103)</f>
        <v>45344</v>
      </c>
      <c r="B393" s="40">
        <f t="shared" si="1"/>
        <v>160.8649659</v>
      </c>
      <c r="C393" s="40">
        <f t="shared" si="2"/>
        <v>144.532483</v>
      </c>
      <c r="D393" s="40">
        <f>'長期'!D103</f>
        <v>137</v>
      </c>
      <c r="E393" s="40">
        <f t="shared" si="3"/>
        <v>111.867517</v>
      </c>
      <c r="F393" s="40">
        <f t="shared" si="4"/>
        <v>95.53503406</v>
      </c>
    </row>
    <row r="394" ht="12.0" customHeight="1">
      <c r="A394" s="55">
        <f>IF('長期'!A102="","",'長期'!A102)</f>
        <v>45348</v>
      </c>
      <c r="B394" s="40">
        <f t="shared" si="1"/>
        <v>162.4249865</v>
      </c>
      <c r="C394" s="40">
        <f t="shared" si="2"/>
        <v>145.8924933</v>
      </c>
      <c r="D394" s="40">
        <f>'長期'!D102</f>
        <v>146</v>
      </c>
      <c r="E394" s="40">
        <f t="shared" si="3"/>
        <v>112.8275067</v>
      </c>
      <c r="F394" s="40">
        <f t="shared" si="4"/>
        <v>96.29501348</v>
      </c>
    </row>
    <row r="395" ht="12.0" customHeight="1">
      <c r="A395" s="55">
        <f>IF('長期'!A101="","",'長期'!A101)</f>
        <v>45349</v>
      </c>
      <c r="B395" s="40">
        <f t="shared" si="1"/>
        <v>163.7675011</v>
      </c>
      <c r="C395" s="40">
        <f t="shared" si="2"/>
        <v>147.0037506</v>
      </c>
      <c r="D395" s="40">
        <f>'長期'!D101</f>
        <v>145</v>
      </c>
      <c r="E395" s="40">
        <f t="shared" si="3"/>
        <v>113.4762494</v>
      </c>
      <c r="F395" s="40">
        <f t="shared" si="4"/>
        <v>96.71249885</v>
      </c>
    </row>
    <row r="396" ht="12.0" customHeight="1">
      <c r="A396" s="55">
        <f>IF('長期'!A100="","",'長期'!A100)</f>
        <v>45350</v>
      </c>
      <c r="B396" s="40">
        <f t="shared" si="1"/>
        <v>164.7067348</v>
      </c>
      <c r="C396" s="40">
        <f t="shared" si="2"/>
        <v>147.7533674</v>
      </c>
      <c r="D396" s="40">
        <f>'長期'!D100</f>
        <v>143</v>
      </c>
      <c r="E396" s="40">
        <f t="shared" si="3"/>
        <v>113.8466326</v>
      </c>
      <c r="F396" s="40">
        <f t="shared" si="4"/>
        <v>96.89326517</v>
      </c>
    </row>
    <row r="397" ht="12.0" customHeight="1">
      <c r="A397" s="55">
        <f>IF('長期'!A99="","",'長期'!A99)</f>
        <v>45351</v>
      </c>
      <c r="B397" s="40">
        <f t="shared" si="1"/>
        <v>164.643526</v>
      </c>
      <c r="C397" s="40">
        <f t="shared" si="2"/>
        <v>147.701763</v>
      </c>
      <c r="D397" s="40">
        <f>'長期'!D99</f>
        <v>135</v>
      </c>
      <c r="E397" s="40">
        <f t="shared" si="3"/>
        <v>113.818237</v>
      </c>
      <c r="F397" s="40">
        <f t="shared" si="4"/>
        <v>96.87647401</v>
      </c>
    </row>
    <row r="398" ht="12.0" customHeight="1">
      <c r="A398" s="55">
        <f>IF('長期'!A98="","",'長期'!A98)</f>
        <v>45352</v>
      </c>
      <c r="B398" s="40">
        <f t="shared" si="1"/>
        <v>164.9441787</v>
      </c>
      <c r="C398" s="40">
        <f t="shared" si="2"/>
        <v>147.9920894</v>
      </c>
      <c r="D398" s="40">
        <f>'長期'!D98</f>
        <v>135</v>
      </c>
      <c r="E398" s="40">
        <f t="shared" si="3"/>
        <v>114.0879106</v>
      </c>
      <c r="F398" s="40">
        <f t="shared" si="4"/>
        <v>97.1358213</v>
      </c>
    </row>
    <row r="399" ht="12.0" customHeight="1">
      <c r="A399" s="55">
        <f>IF('長期'!A97="","",'長期'!A97)</f>
        <v>45355</v>
      </c>
      <c r="B399" s="40">
        <f t="shared" si="1"/>
        <v>165.397154</v>
      </c>
      <c r="C399" s="40">
        <f t="shared" si="2"/>
        <v>148.438577</v>
      </c>
      <c r="D399" s="40">
        <f>'長期'!D97</f>
        <v>137</v>
      </c>
      <c r="E399" s="40">
        <f t="shared" si="3"/>
        <v>114.521423</v>
      </c>
      <c r="F399" s="40">
        <f t="shared" si="4"/>
        <v>97.56284603</v>
      </c>
    </row>
    <row r="400" ht="12.0" customHeight="1">
      <c r="A400" s="55">
        <f>IF('長期'!A96="","",'長期'!A96)</f>
        <v>45356</v>
      </c>
      <c r="B400" s="40">
        <f t="shared" si="1"/>
        <v>167.4500062</v>
      </c>
      <c r="C400" s="40">
        <f t="shared" si="2"/>
        <v>150.0850031</v>
      </c>
      <c r="D400" s="40">
        <f>'長期'!D96</f>
        <v>153</v>
      </c>
      <c r="E400" s="40">
        <f t="shared" si="3"/>
        <v>115.3549969</v>
      </c>
      <c r="F400" s="40">
        <f t="shared" si="4"/>
        <v>97.98999376</v>
      </c>
    </row>
    <row r="401" ht="12.0" customHeight="1">
      <c r="A401" s="55">
        <f>IF('長期'!A95="","",'長期'!A95)</f>
        <v>45357</v>
      </c>
      <c r="B401" s="40">
        <f t="shared" si="1"/>
        <v>172.100557</v>
      </c>
      <c r="C401" s="40">
        <f t="shared" si="2"/>
        <v>153.3702785</v>
      </c>
      <c r="D401" s="40">
        <f>'長期'!D95</f>
        <v>170</v>
      </c>
      <c r="E401" s="40">
        <f t="shared" si="3"/>
        <v>115.9097215</v>
      </c>
      <c r="F401" s="40">
        <f t="shared" si="4"/>
        <v>97.17944297</v>
      </c>
    </row>
    <row r="402" ht="12.0" customHeight="1">
      <c r="A402" s="55">
        <f>IF('長期'!A94="","",'長期'!A94)</f>
        <v>45358</v>
      </c>
      <c r="B402" s="40">
        <f t="shared" si="1"/>
        <v>189.0804342</v>
      </c>
      <c r="C402" s="40">
        <f t="shared" si="2"/>
        <v>163.9002171</v>
      </c>
      <c r="D402" s="40">
        <f>'長期'!D94</f>
        <v>221</v>
      </c>
      <c r="E402" s="40">
        <f t="shared" si="3"/>
        <v>113.5397829</v>
      </c>
      <c r="F402" s="40">
        <f t="shared" si="4"/>
        <v>88.35956579</v>
      </c>
    </row>
    <row r="403" ht="12.0" customHeight="1">
      <c r="A403" s="55">
        <f>IF('長期'!A93="","",'長期'!A93)</f>
        <v>45359</v>
      </c>
      <c r="B403" s="40">
        <f t="shared" si="1"/>
        <v>191.4166218</v>
      </c>
      <c r="C403" s="40">
        <f t="shared" si="2"/>
        <v>166.0883109</v>
      </c>
      <c r="D403" s="40">
        <f>'長期'!D93</f>
        <v>167</v>
      </c>
      <c r="E403" s="40">
        <f t="shared" si="3"/>
        <v>115.4316891</v>
      </c>
      <c r="F403" s="40">
        <f t="shared" si="4"/>
        <v>90.10337819</v>
      </c>
    </row>
    <row r="404" ht="12.0" customHeight="1">
      <c r="A404" s="55">
        <f>IF('長期'!A92="","",'長期'!A92)</f>
        <v>45362</v>
      </c>
      <c r="B404" s="40">
        <f t="shared" si="1"/>
        <v>193.0142011</v>
      </c>
      <c r="C404" s="40">
        <f t="shared" si="2"/>
        <v>167.8671006</v>
      </c>
      <c r="D404" s="40">
        <f>'長期'!D92</f>
        <v>164</v>
      </c>
      <c r="E404" s="40">
        <f t="shared" si="3"/>
        <v>117.5728994</v>
      </c>
      <c r="F404" s="40">
        <f t="shared" si="4"/>
        <v>92.42579888</v>
      </c>
    </row>
    <row r="405" ht="12.0" customHeight="1">
      <c r="A405" s="55">
        <f>IF('長期'!A91="","",'長期'!A91)</f>
        <v>45363</v>
      </c>
      <c r="B405" s="40">
        <f t="shared" si="1"/>
        <v>195.2838843</v>
      </c>
      <c r="C405" s="40">
        <f t="shared" si="2"/>
        <v>170.1219422</v>
      </c>
      <c r="D405" s="40">
        <f>'長期'!D91</f>
        <v>172</v>
      </c>
      <c r="E405" s="40">
        <f t="shared" si="3"/>
        <v>119.7980578</v>
      </c>
      <c r="F405" s="40">
        <f t="shared" si="4"/>
        <v>94.63611568</v>
      </c>
    </row>
    <row r="406" ht="12.0" customHeight="1">
      <c r="A406" s="55">
        <f>IF('長期'!A90="","",'長期'!A90)</f>
        <v>45364</v>
      </c>
      <c r="B406" s="40">
        <f t="shared" si="1"/>
        <v>195.5889404</v>
      </c>
      <c r="C406" s="40">
        <f t="shared" si="2"/>
        <v>171.1544702</v>
      </c>
      <c r="D406" s="40">
        <f>'長期'!D90</f>
        <v>158</v>
      </c>
      <c r="E406" s="40">
        <f t="shared" si="3"/>
        <v>122.2855298</v>
      </c>
      <c r="F406" s="40">
        <f t="shared" si="4"/>
        <v>97.85105963</v>
      </c>
    </row>
    <row r="407" ht="12.0" customHeight="1">
      <c r="A407" s="55">
        <f>IF('長期'!A89="","",'長期'!A89)</f>
        <v>45365</v>
      </c>
      <c r="B407" s="40">
        <f t="shared" si="1"/>
        <v>195.0755171</v>
      </c>
      <c r="C407" s="40">
        <f t="shared" si="2"/>
        <v>171.8177586</v>
      </c>
      <c r="D407" s="40">
        <f>'長期'!D89</f>
        <v>156</v>
      </c>
      <c r="E407" s="40">
        <f t="shared" si="3"/>
        <v>125.3022414</v>
      </c>
      <c r="F407" s="40">
        <f t="shared" si="4"/>
        <v>102.0444829</v>
      </c>
    </row>
    <row r="408" ht="12.0" customHeight="1">
      <c r="A408" s="55">
        <f>IF('長期'!A88="","",'長期'!A88)</f>
        <v>45366</v>
      </c>
      <c r="B408" s="40">
        <f t="shared" si="1"/>
        <v>193.8988288</v>
      </c>
      <c r="C408" s="40">
        <f t="shared" si="2"/>
        <v>172.0694144</v>
      </c>
      <c r="D408" s="40">
        <f>'長期'!D88</f>
        <v>152</v>
      </c>
      <c r="E408" s="40">
        <f t="shared" si="3"/>
        <v>128.4105856</v>
      </c>
      <c r="F408" s="40">
        <f t="shared" si="4"/>
        <v>106.5811712</v>
      </c>
    </row>
    <row r="409" ht="12.0" customHeight="1">
      <c r="A409" s="55">
        <f>IF('長期'!A87="","",'長期'!A87)</f>
        <v>45369</v>
      </c>
      <c r="B409" s="40">
        <f t="shared" si="1"/>
        <v>192.5443204</v>
      </c>
      <c r="C409" s="40">
        <f t="shared" si="2"/>
        <v>172.3521602</v>
      </c>
      <c r="D409" s="40">
        <f>'長期'!D87</f>
        <v>158</v>
      </c>
      <c r="E409" s="40">
        <f t="shared" si="3"/>
        <v>131.9678398</v>
      </c>
      <c r="F409" s="40">
        <f t="shared" si="4"/>
        <v>111.7756796</v>
      </c>
    </row>
    <row r="410" ht="12.0" customHeight="1">
      <c r="A410" s="55">
        <f>IF('長期'!A86="","",'長期'!A86)</f>
        <v>45370</v>
      </c>
      <c r="B410" s="40">
        <f t="shared" si="1"/>
        <v>190.0379384</v>
      </c>
      <c r="C410" s="40">
        <f t="shared" si="2"/>
        <v>172.0589692</v>
      </c>
      <c r="D410" s="40">
        <f>'長期'!D86</f>
        <v>156</v>
      </c>
      <c r="E410" s="40">
        <f t="shared" si="3"/>
        <v>136.1010308</v>
      </c>
      <c r="F410" s="40">
        <f t="shared" si="4"/>
        <v>118.1220616</v>
      </c>
    </row>
    <row r="411" ht="12.0" customHeight="1">
      <c r="A411" s="55">
        <f>IF('長期'!A85="","",'長期'!A85)</f>
        <v>45372</v>
      </c>
      <c r="B411" s="40">
        <f t="shared" si="1"/>
        <v>189.7769858</v>
      </c>
      <c r="C411" s="40">
        <f t="shared" si="2"/>
        <v>172.4484929</v>
      </c>
      <c r="D411" s="40">
        <f>'長期'!D85</f>
        <v>157</v>
      </c>
      <c r="E411" s="40">
        <f t="shared" si="3"/>
        <v>137.7915071</v>
      </c>
      <c r="F411" s="40">
        <f t="shared" si="4"/>
        <v>120.4630142</v>
      </c>
    </row>
    <row r="412" ht="12.0" customHeight="1">
      <c r="A412" s="55">
        <f>IF('長期'!A84="","",'長期'!A84)</f>
        <v>45373</v>
      </c>
      <c r="B412" s="40">
        <f t="shared" si="1"/>
        <v>190.0483764</v>
      </c>
      <c r="C412" s="40">
        <f t="shared" si="2"/>
        <v>172.6641882</v>
      </c>
      <c r="D412" s="40">
        <f>'長期'!D84</f>
        <v>163</v>
      </c>
      <c r="E412" s="40">
        <f t="shared" si="3"/>
        <v>137.8958118</v>
      </c>
      <c r="F412" s="40">
        <f t="shared" si="4"/>
        <v>120.5116236</v>
      </c>
    </row>
    <row r="413" ht="12.0" customHeight="1">
      <c r="A413" s="55">
        <f>IF('長期'!A83="","",'長期'!A83)</f>
        <v>45376</v>
      </c>
      <c r="B413" s="40">
        <f t="shared" si="1"/>
        <v>190.5035061</v>
      </c>
      <c r="C413" s="40">
        <f t="shared" si="2"/>
        <v>173.151753</v>
      </c>
      <c r="D413" s="40">
        <f>'長期'!D83</f>
        <v>161</v>
      </c>
      <c r="E413" s="40">
        <f t="shared" si="3"/>
        <v>138.448247</v>
      </c>
      <c r="F413" s="40">
        <f t="shared" si="4"/>
        <v>121.0964939</v>
      </c>
    </row>
    <row r="414" ht="12.0" customHeight="1">
      <c r="A414" s="55">
        <f>IF('長期'!A82="","",'長期'!A82)</f>
        <v>45377</v>
      </c>
      <c r="B414" s="40">
        <f t="shared" si="1"/>
        <v>190.565828</v>
      </c>
      <c r="C414" s="40">
        <f t="shared" si="2"/>
        <v>173.222914</v>
      </c>
      <c r="D414" s="40">
        <f>'長期'!D82</f>
        <v>155</v>
      </c>
      <c r="E414" s="40">
        <f t="shared" si="3"/>
        <v>138.537086</v>
      </c>
      <c r="F414" s="40">
        <f t="shared" si="4"/>
        <v>121.194172</v>
      </c>
    </row>
    <row r="415" ht="12.0" customHeight="1">
      <c r="A415" s="55">
        <f>IF('長期'!A81="","",'長期'!A81)</f>
        <v>45378</v>
      </c>
      <c r="B415" s="40">
        <f t="shared" si="1"/>
        <v>190.2611881</v>
      </c>
      <c r="C415" s="40">
        <f t="shared" si="2"/>
        <v>172.9505941</v>
      </c>
      <c r="D415" s="40">
        <f>'長期'!D81</f>
        <v>155</v>
      </c>
      <c r="E415" s="40">
        <f t="shared" si="3"/>
        <v>138.3294059</v>
      </c>
      <c r="F415" s="40">
        <f t="shared" si="4"/>
        <v>121.0188119</v>
      </c>
    </row>
    <row r="416" ht="12.0" customHeight="1">
      <c r="A416" s="55">
        <f>IF('長期'!A80="","",'長期'!A80)</f>
        <v>45379</v>
      </c>
      <c r="B416" s="40">
        <f t="shared" si="1"/>
        <v>190.1696719</v>
      </c>
      <c r="C416" s="40">
        <f t="shared" si="2"/>
        <v>172.8248359</v>
      </c>
      <c r="D416" s="40">
        <f>'長期'!D80</f>
        <v>150</v>
      </c>
      <c r="E416" s="40">
        <f t="shared" si="3"/>
        <v>138.1351641</v>
      </c>
      <c r="F416" s="40">
        <f t="shared" si="4"/>
        <v>120.7903281</v>
      </c>
    </row>
    <row r="417" ht="12.0" customHeight="1">
      <c r="A417" s="55">
        <f>IF('長期'!A79="","",'長期'!A79)</f>
        <v>45380</v>
      </c>
      <c r="B417" s="40">
        <f t="shared" si="1"/>
        <v>191.704632</v>
      </c>
      <c r="C417" s="40">
        <f t="shared" si="2"/>
        <v>174.252316</v>
      </c>
      <c r="D417" s="40">
        <f>'長期'!D79</f>
        <v>174</v>
      </c>
      <c r="E417" s="40">
        <f t="shared" si="3"/>
        <v>139.347684</v>
      </c>
      <c r="F417" s="40">
        <f t="shared" si="4"/>
        <v>121.895368</v>
      </c>
    </row>
    <row r="418" ht="12.0" customHeight="1">
      <c r="A418" s="55">
        <f>IF('長期'!A78="","",'長期'!A78)</f>
        <v>45383</v>
      </c>
      <c r="B418" s="40">
        <f t="shared" si="1"/>
        <v>193.3211315</v>
      </c>
      <c r="C418" s="40">
        <f t="shared" si="2"/>
        <v>175.8805657</v>
      </c>
      <c r="D418" s="40">
        <f>'長期'!D78</f>
        <v>178</v>
      </c>
      <c r="E418" s="40">
        <f t="shared" si="3"/>
        <v>140.9994343</v>
      </c>
      <c r="F418" s="40">
        <f t="shared" si="4"/>
        <v>123.5588685</v>
      </c>
    </row>
    <row r="419" ht="12.0" customHeight="1">
      <c r="A419" s="55">
        <f>IF('長期'!A77="","",'長期'!A77)</f>
        <v>45384</v>
      </c>
      <c r="B419" s="40">
        <f t="shared" si="1"/>
        <v>193.7784133</v>
      </c>
      <c r="C419" s="40">
        <f t="shared" si="2"/>
        <v>176.4892067</v>
      </c>
      <c r="D419" s="40">
        <f>'長期'!D77</f>
        <v>165</v>
      </c>
      <c r="E419" s="40">
        <f t="shared" si="3"/>
        <v>141.9107933</v>
      </c>
      <c r="F419" s="40">
        <f t="shared" si="4"/>
        <v>124.6215867</v>
      </c>
    </row>
    <row r="420" ht="12.0" customHeight="1">
      <c r="A420" s="55">
        <f>IF('長期'!A76="","",'長期'!A76)</f>
        <v>45385</v>
      </c>
      <c r="B420" s="40">
        <f t="shared" si="1"/>
        <v>194.6021885</v>
      </c>
      <c r="C420" s="40">
        <f t="shared" si="2"/>
        <v>177.4210943</v>
      </c>
      <c r="D420" s="40">
        <f>'長期'!D76</f>
        <v>171</v>
      </c>
      <c r="E420" s="40">
        <f t="shared" si="3"/>
        <v>143.0589057</v>
      </c>
      <c r="F420" s="40">
        <f t="shared" si="4"/>
        <v>125.8778115</v>
      </c>
    </row>
    <row r="421" ht="12.0" customHeight="1">
      <c r="A421" s="55">
        <f>IF('長期'!A75="","",'長期'!A75)</f>
        <v>45386</v>
      </c>
      <c r="B421" s="40">
        <f t="shared" si="1"/>
        <v>195.1170413</v>
      </c>
      <c r="C421" s="40">
        <f t="shared" si="2"/>
        <v>178.2185206</v>
      </c>
      <c r="D421" s="40">
        <f>'長期'!D75</f>
        <v>170</v>
      </c>
      <c r="E421" s="40">
        <f t="shared" si="3"/>
        <v>144.4214794</v>
      </c>
      <c r="F421" s="40">
        <f t="shared" si="4"/>
        <v>127.5229587</v>
      </c>
    </row>
    <row r="422" ht="12.0" customHeight="1">
      <c r="A422" s="55">
        <f>IF('長期'!A74="","",'長期'!A74)</f>
        <v>45387</v>
      </c>
      <c r="B422" s="40">
        <f t="shared" si="1"/>
        <v>194.2250878</v>
      </c>
      <c r="C422" s="40">
        <f t="shared" si="2"/>
        <v>178.1525439</v>
      </c>
      <c r="D422" s="40">
        <f>'長期'!D74</f>
        <v>154</v>
      </c>
      <c r="E422" s="40">
        <f t="shared" si="3"/>
        <v>146.0074561</v>
      </c>
      <c r="F422" s="40">
        <f t="shared" si="4"/>
        <v>129.9349122</v>
      </c>
    </row>
    <row r="423" ht="12.0" customHeight="1">
      <c r="A423" s="55">
        <f>IF('長期'!A73="","",'長期'!A73)</f>
        <v>45390</v>
      </c>
      <c r="B423" s="40">
        <f t="shared" si="1"/>
        <v>193.1717307</v>
      </c>
      <c r="C423" s="40">
        <f t="shared" si="2"/>
        <v>178.0858653</v>
      </c>
      <c r="D423" s="40">
        <f>'長期'!D73</f>
        <v>158</v>
      </c>
      <c r="E423" s="40">
        <f t="shared" si="3"/>
        <v>147.9141347</v>
      </c>
      <c r="F423" s="40">
        <f t="shared" si="4"/>
        <v>132.8282693</v>
      </c>
    </row>
    <row r="424" ht="12.0" customHeight="1">
      <c r="A424" s="55">
        <f>IF('長期'!A72="","",'長期'!A72)</f>
        <v>45391</v>
      </c>
      <c r="B424" s="40">
        <f t="shared" si="1"/>
        <v>192.7127091</v>
      </c>
      <c r="C424" s="40">
        <f t="shared" si="2"/>
        <v>177.9563546</v>
      </c>
      <c r="D424" s="40">
        <f>'長期'!D72</f>
        <v>142</v>
      </c>
      <c r="E424" s="40">
        <f t="shared" si="3"/>
        <v>148.4436454</v>
      </c>
      <c r="F424" s="40">
        <f t="shared" si="4"/>
        <v>133.6872909</v>
      </c>
    </row>
    <row r="425" ht="12.0" customHeight="1">
      <c r="A425" s="55">
        <f>IF('長期'!A71="","",'長期'!A71)</f>
        <v>45392</v>
      </c>
      <c r="B425" s="40">
        <f t="shared" si="1"/>
        <v>192.691637</v>
      </c>
      <c r="C425" s="40">
        <f t="shared" si="2"/>
        <v>178.0458185</v>
      </c>
      <c r="D425" s="40">
        <f>'長期'!D71</f>
        <v>158</v>
      </c>
      <c r="E425" s="40">
        <f t="shared" si="3"/>
        <v>148.7541815</v>
      </c>
      <c r="F425" s="40">
        <f t="shared" si="4"/>
        <v>134.108363</v>
      </c>
    </row>
    <row r="426" ht="12.0" customHeight="1">
      <c r="A426" s="55">
        <f>IF('長期'!A70="","",'長期'!A70)</f>
        <v>45393</v>
      </c>
      <c r="B426" s="40">
        <f t="shared" si="1"/>
        <v>192.3032168</v>
      </c>
      <c r="C426" s="40">
        <f t="shared" si="2"/>
        <v>177.4116084</v>
      </c>
      <c r="D426" s="40">
        <f>'長期'!D70</f>
        <v>148</v>
      </c>
      <c r="E426" s="40">
        <f t="shared" si="3"/>
        <v>147.6283916</v>
      </c>
      <c r="F426" s="40">
        <f t="shared" si="4"/>
        <v>132.7367832</v>
      </c>
    </row>
    <row r="427" ht="12.0" customHeight="1">
      <c r="A427" s="55">
        <f>IF('長期'!A69="","",'長期'!A69)</f>
        <v>45394</v>
      </c>
      <c r="B427" s="40">
        <f t="shared" si="1"/>
        <v>177.1589554</v>
      </c>
      <c r="C427" s="40">
        <f t="shared" si="2"/>
        <v>168.4794777</v>
      </c>
      <c r="D427" s="40">
        <f>'長期'!D69</f>
        <v>153</v>
      </c>
      <c r="E427" s="40">
        <f t="shared" si="3"/>
        <v>151.1205223</v>
      </c>
      <c r="F427" s="40">
        <f t="shared" si="4"/>
        <v>142.4410446</v>
      </c>
    </row>
    <row r="428" ht="12.0" customHeight="1">
      <c r="A428" s="55">
        <f>IF('長期'!A68="","",'長期'!A68)</f>
        <v>45397</v>
      </c>
      <c r="B428" s="40">
        <f t="shared" si="1"/>
        <v>176.6860596</v>
      </c>
      <c r="C428" s="40">
        <f t="shared" si="2"/>
        <v>167.8830298</v>
      </c>
      <c r="D428" s="40">
        <f>'長期'!D68</f>
        <v>149</v>
      </c>
      <c r="E428" s="40">
        <f t="shared" si="3"/>
        <v>150.2769702</v>
      </c>
      <c r="F428" s="40">
        <f t="shared" si="4"/>
        <v>141.4739404</v>
      </c>
    </row>
    <row r="429" ht="12.0" customHeight="1">
      <c r="A429" s="55">
        <f>IF('長期'!A67="","",'長期'!A67)</f>
        <v>45398</v>
      </c>
      <c r="B429" s="40">
        <f t="shared" si="1"/>
        <v>176.5889148</v>
      </c>
      <c r="C429" s="40">
        <f t="shared" si="2"/>
        <v>167.4744574</v>
      </c>
      <c r="D429" s="40">
        <f>'長期'!D67</f>
        <v>146</v>
      </c>
      <c r="E429" s="40">
        <f t="shared" si="3"/>
        <v>149.2455426</v>
      </c>
      <c r="F429" s="40">
        <f t="shared" si="4"/>
        <v>140.1310852</v>
      </c>
    </row>
    <row r="430" ht="12.0" customHeight="1">
      <c r="A430" s="55">
        <f>IF('長期'!A66="","",'長期'!A66)</f>
        <v>45399</v>
      </c>
      <c r="B430" s="40">
        <f t="shared" si="1"/>
        <v>175.6970468</v>
      </c>
      <c r="C430" s="40">
        <f t="shared" si="2"/>
        <v>166.4085234</v>
      </c>
      <c r="D430" s="40">
        <f>'長期'!D66</f>
        <v>141</v>
      </c>
      <c r="E430" s="40">
        <f t="shared" si="3"/>
        <v>147.8314766</v>
      </c>
      <c r="F430" s="40">
        <f t="shared" si="4"/>
        <v>138.5429532</v>
      </c>
    </row>
    <row r="431" ht="12.0" customHeight="1">
      <c r="A431" s="55">
        <f>IF('長期'!A65="","",'長期'!A65)</f>
        <v>45400</v>
      </c>
      <c r="B431" s="40">
        <f t="shared" si="1"/>
        <v>176.4008366</v>
      </c>
      <c r="C431" s="40">
        <f t="shared" si="2"/>
        <v>166.3604183</v>
      </c>
      <c r="D431" s="40">
        <f>'長期'!D65</f>
        <v>138</v>
      </c>
      <c r="E431" s="40">
        <f t="shared" si="3"/>
        <v>146.2795817</v>
      </c>
      <c r="F431" s="40">
        <f t="shared" si="4"/>
        <v>136.2391634</v>
      </c>
    </row>
    <row r="432" ht="12.0" customHeight="1">
      <c r="A432" s="55">
        <f>IF('長期'!A64="","",'長期'!A64)</f>
        <v>45401</v>
      </c>
      <c r="B432" s="40">
        <f t="shared" si="1"/>
        <v>176.7965022</v>
      </c>
      <c r="C432" s="40">
        <f t="shared" si="2"/>
        <v>166.2382511</v>
      </c>
      <c r="D432" s="40">
        <f>'長期'!D64</f>
        <v>140</v>
      </c>
      <c r="E432" s="40">
        <f t="shared" si="3"/>
        <v>145.1217489</v>
      </c>
      <c r="F432" s="40">
        <f t="shared" si="4"/>
        <v>134.5634978</v>
      </c>
    </row>
    <row r="433" ht="12.0" customHeight="1">
      <c r="A433" s="55">
        <f>IF('長期'!A63="","",'長期'!A63)</f>
        <v>45404</v>
      </c>
      <c r="B433" s="40">
        <f t="shared" si="1"/>
        <v>177.6495033</v>
      </c>
      <c r="C433" s="40">
        <f t="shared" si="2"/>
        <v>166.3247517</v>
      </c>
      <c r="D433" s="40">
        <f>'長期'!D63</f>
        <v>135</v>
      </c>
      <c r="E433" s="40">
        <f t="shared" si="3"/>
        <v>143.6752483</v>
      </c>
      <c r="F433" s="40">
        <f t="shared" si="4"/>
        <v>132.3504967</v>
      </c>
    </row>
    <row r="434" ht="12.0" customHeight="1">
      <c r="A434" s="55">
        <f>IF('長期'!A62="","",'長期'!A62)</f>
        <v>45405</v>
      </c>
      <c r="B434" s="40">
        <f t="shared" si="1"/>
        <v>178.1472603</v>
      </c>
      <c r="C434" s="40">
        <f t="shared" si="2"/>
        <v>166.0936302</v>
      </c>
      <c r="D434" s="40">
        <f>'長期'!D62</f>
        <v>134</v>
      </c>
      <c r="E434" s="40">
        <f t="shared" si="3"/>
        <v>141.9863698</v>
      </c>
      <c r="F434" s="40">
        <f t="shared" si="4"/>
        <v>129.9327397</v>
      </c>
    </row>
    <row r="435" ht="12.0" customHeight="1">
      <c r="A435" s="55">
        <f>IF('長期'!A61="","",'長期'!A61)</f>
        <v>45406</v>
      </c>
      <c r="B435" s="40">
        <f t="shared" si="1"/>
        <v>178.0436588</v>
      </c>
      <c r="C435" s="40">
        <f t="shared" si="2"/>
        <v>165.7618294</v>
      </c>
      <c r="D435" s="40">
        <f>'長期'!D61</f>
        <v>142</v>
      </c>
      <c r="E435" s="40">
        <f t="shared" si="3"/>
        <v>141.1981706</v>
      </c>
      <c r="F435" s="40">
        <f t="shared" si="4"/>
        <v>128.9163412</v>
      </c>
    </row>
    <row r="436" ht="12.0" customHeight="1">
      <c r="A436" s="55">
        <f>IF('長期'!A60="","",'長期'!A60)</f>
        <v>45407</v>
      </c>
      <c r="B436" s="40">
        <f t="shared" si="1"/>
        <v>177.7775902</v>
      </c>
      <c r="C436" s="40">
        <f t="shared" si="2"/>
        <v>165.5087951</v>
      </c>
      <c r="D436" s="40">
        <f>'長期'!D60</f>
        <v>151</v>
      </c>
      <c r="E436" s="40">
        <f t="shared" si="3"/>
        <v>140.9712049</v>
      </c>
      <c r="F436" s="40">
        <f t="shared" si="4"/>
        <v>128.7024098</v>
      </c>
    </row>
    <row r="437" ht="12.0" customHeight="1">
      <c r="A437" s="55">
        <f>IF('長期'!A59="","",'長期'!A59)</f>
        <v>45408</v>
      </c>
      <c r="B437" s="40">
        <f t="shared" si="1"/>
        <v>177.1913846</v>
      </c>
      <c r="C437" s="40">
        <f t="shared" si="2"/>
        <v>165.0756923</v>
      </c>
      <c r="D437" s="40">
        <f>'長期'!D59</f>
        <v>156</v>
      </c>
      <c r="E437" s="40">
        <f t="shared" si="3"/>
        <v>140.8443077</v>
      </c>
      <c r="F437" s="40">
        <f t="shared" si="4"/>
        <v>128.7286154</v>
      </c>
    </row>
    <row r="438" ht="12.0" customHeight="1">
      <c r="A438" s="55">
        <f>IF('長期'!A58="","",'長期'!A58)</f>
        <v>45412</v>
      </c>
      <c r="B438" s="40">
        <f t="shared" si="1"/>
        <v>179.5036677</v>
      </c>
      <c r="C438" s="40">
        <f t="shared" si="2"/>
        <v>166.5518338</v>
      </c>
      <c r="D438" s="40">
        <f>'長期'!D58</f>
        <v>177</v>
      </c>
      <c r="E438" s="40">
        <f t="shared" si="3"/>
        <v>140.6481662</v>
      </c>
      <c r="F438" s="40">
        <f t="shared" si="4"/>
        <v>127.6963323</v>
      </c>
    </row>
    <row r="439" ht="12.0" customHeight="1">
      <c r="A439" s="55">
        <f>IF('長期'!A57="","",'長期'!A57)</f>
        <v>45413</v>
      </c>
      <c r="B439" s="40">
        <f t="shared" si="1"/>
        <v>180.2995564</v>
      </c>
      <c r="C439" s="40">
        <f t="shared" si="2"/>
        <v>167.1497782</v>
      </c>
      <c r="D439" s="40">
        <f>'長期'!D57</f>
        <v>165</v>
      </c>
      <c r="E439" s="40">
        <f t="shared" si="3"/>
        <v>140.8502218</v>
      </c>
      <c r="F439" s="40">
        <f t="shared" si="4"/>
        <v>127.7004436</v>
      </c>
    </row>
    <row r="440" ht="12.0" customHeight="1">
      <c r="A440" s="55">
        <f>IF('長期'!A56="","",'長期'!A56)</f>
        <v>45414</v>
      </c>
      <c r="B440" s="40">
        <f t="shared" si="1"/>
        <v>180.6866759</v>
      </c>
      <c r="C440" s="40">
        <f t="shared" si="2"/>
        <v>167.463338</v>
      </c>
      <c r="D440" s="40">
        <f>'長期'!D56</f>
        <v>161</v>
      </c>
      <c r="E440" s="40">
        <f t="shared" si="3"/>
        <v>141.016662</v>
      </c>
      <c r="F440" s="40">
        <f t="shared" si="4"/>
        <v>127.7933241</v>
      </c>
    </row>
    <row r="441" ht="12.0" customHeight="1">
      <c r="A441" s="55">
        <f>IF('長期'!A55="","",'長期'!A55)</f>
        <v>45419</v>
      </c>
      <c r="B441" s="40">
        <f t="shared" si="1"/>
        <v>191.1454585</v>
      </c>
      <c r="C441" s="40">
        <f t="shared" si="2"/>
        <v>173.8927293</v>
      </c>
      <c r="D441" s="40">
        <f>'長期'!D55</f>
        <v>210</v>
      </c>
      <c r="E441" s="40">
        <f t="shared" si="3"/>
        <v>139.3872707</v>
      </c>
      <c r="F441" s="40">
        <f t="shared" si="4"/>
        <v>122.1345415</v>
      </c>
    </row>
    <row r="442" ht="12.0" customHeight="1">
      <c r="A442" s="55">
        <f>IF('長期'!A54="","",'長期'!A54)</f>
        <v>45420</v>
      </c>
      <c r="B442" s="40">
        <f t="shared" si="1"/>
        <v>208.8830091</v>
      </c>
      <c r="C442" s="40">
        <f t="shared" si="2"/>
        <v>184.2015045</v>
      </c>
      <c r="D442" s="40">
        <f>'長期'!D54</f>
        <v>246</v>
      </c>
      <c r="E442" s="40">
        <f t="shared" si="3"/>
        <v>134.8384955</v>
      </c>
      <c r="F442" s="40">
        <f t="shared" si="4"/>
        <v>110.1569909</v>
      </c>
    </row>
    <row r="443" ht="12.0" customHeight="1">
      <c r="A443" s="55">
        <f>IF('長期'!A53="","",'長期'!A53)</f>
        <v>45421</v>
      </c>
      <c r="B443" s="40">
        <f t="shared" si="1"/>
        <v>222.7510075</v>
      </c>
      <c r="C443" s="40">
        <f t="shared" si="2"/>
        <v>192.5355037</v>
      </c>
      <c r="D443" s="40">
        <f>'長期'!D53</f>
        <v>248</v>
      </c>
      <c r="E443" s="40">
        <f t="shared" si="3"/>
        <v>132.1044963</v>
      </c>
      <c r="F443" s="40">
        <f t="shared" si="4"/>
        <v>101.8889925</v>
      </c>
    </row>
    <row r="444" ht="12.0" customHeight="1">
      <c r="A444" s="55">
        <f>IF('長期'!A52="","",'長期'!A52)</f>
        <v>45422</v>
      </c>
      <c r="B444" s="40">
        <f t="shared" si="1"/>
        <v>231.9777329</v>
      </c>
      <c r="C444" s="40">
        <f t="shared" si="2"/>
        <v>198.5288664</v>
      </c>
      <c r="D444" s="40">
        <f>'長期'!D52</f>
        <v>234</v>
      </c>
      <c r="E444" s="40">
        <f t="shared" si="3"/>
        <v>131.6311336</v>
      </c>
      <c r="F444" s="40">
        <f t="shared" si="4"/>
        <v>98.1822671</v>
      </c>
    </row>
    <row r="445" ht="12.0" customHeight="1">
      <c r="A445" s="55">
        <f>IF('長期'!A51="","",'長期'!A51)</f>
        <v>45425</v>
      </c>
      <c r="B445" s="40">
        <f t="shared" si="1"/>
        <v>238.2922812</v>
      </c>
      <c r="C445" s="40">
        <f t="shared" si="2"/>
        <v>202.7661406</v>
      </c>
      <c r="D445" s="40">
        <f>'長期'!D51</f>
        <v>225</v>
      </c>
      <c r="E445" s="40">
        <f t="shared" si="3"/>
        <v>131.7138594</v>
      </c>
      <c r="F445" s="40">
        <f t="shared" si="4"/>
        <v>96.18771878</v>
      </c>
    </row>
    <row r="446" ht="12.0" customHeight="1">
      <c r="A446" s="55">
        <f>IF('長期'!A50="","",'長期'!A50)</f>
        <v>45426</v>
      </c>
      <c r="B446" s="40">
        <f t="shared" si="1"/>
        <v>244.32455</v>
      </c>
      <c r="C446" s="40">
        <f t="shared" si="2"/>
        <v>206.902275</v>
      </c>
      <c r="D446" s="40">
        <f>'長期'!D50</f>
        <v>226</v>
      </c>
      <c r="E446" s="40">
        <f t="shared" si="3"/>
        <v>132.057725</v>
      </c>
      <c r="F446" s="40">
        <f t="shared" si="4"/>
        <v>94.63544999</v>
      </c>
    </row>
    <row r="447" ht="12.0" customHeight="1">
      <c r="A447" s="55">
        <f>IF('長期'!A49="","",'長期'!A49)</f>
        <v>45427</v>
      </c>
      <c r="B447" s="40">
        <f t="shared" si="1"/>
        <v>248.7507981</v>
      </c>
      <c r="C447" s="40">
        <f t="shared" si="2"/>
        <v>210.355399</v>
      </c>
      <c r="D447" s="40">
        <f>'長期'!D49</f>
        <v>216</v>
      </c>
      <c r="E447" s="40">
        <f t="shared" si="3"/>
        <v>133.564601</v>
      </c>
      <c r="F447" s="40">
        <f t="shared" si="4"/>
        <v>95.16920194</v>
      </c>
    </row>
    <row r="448" ht="12.0" customHeight="1">
      <c r="A448" s="55">
        <f>IF('長期'!A48="","",'長期'!A48)</f>
        <v>45428</v>
      </c>
      <c r="B448" s="40">
        <f t="shared" si="1"/>
        <v>251.8327167</v>
      </c>
      <c r="C448" s="40">
        <f t="shared" si="2"/>
        <v>212.8963583</v>
      </c>
      <c r="D448" s="40">
        <f>'長期'!D48</f>
        <v>208</v>
      </c>
      <c r="E448" s="40">
        <f t="shared" si="3"/>
        <v>135.0236417</v>
      </c>
      <c r="F448" s="40">
        <f t="shared" si="4"/>
        <v>96.08728334</v>
      </c>
    </row>
    <row r="449" ht="12.0" customHeight="1">
      <c r="A449" s="55">
        <f>IF('長期'!A47="","",'長期'!A47)</f>
        <v>45429</v>
      </c>
      <c r="B449" s="40">
        <f t="shared" si="1"/>
        <v>255.4785328</v>
      </c>
      <c r="C449" s="40">
        <f t="shared" si="2"/>
        <v>216.2192664</v>
      </c>
      <c r="D449" s="40">
        <f>'長期'!D47</f>
        <v>217</v>
      </c>
      <c r="E449" s="40">
        <f t="shared" si="3"/>
        <v>137.7007336</v>
      </c>
      <c r="F449" s="40">
        <f t="shared" si="4"/>
        <v>98.44146716</v>
      </c>
    </row>
    <row r="450" ht="12.0" customHeight="1">
      <c r="A450" s="55">
        <f>IF('長期'!A46="","",'長期'!A46)</f>
        <v>45432</v>
      </c>
      <c r="B450" s="40">
        <f t="shared" si="1"/>
        <v>261.1459594</v>
      </c>
      <c r="C450" s="40">
        <f t="shared" si="2"/>
        <v>220.5529797</v>
      </c>
      <c r="D450" s="40">
        <f>'長期'!D46</f>
        <v>233</v>
      </c>
      <c r="E450" s="40">
        <f t="shared" si="3"/>
        <v>139.3670203</v>
      </c>
      <c r="F450" s="40">
        <f t="shared" si="4"/>
        <v>98.77404062</v>
      </c>
    </row>
    <row r="451" ht="12.0" customHeight="1">
      <c r="A451" s="55">
        <f>IF('長期'!A45="","",'長期'!A45)</f>
        <v>45433</v>
      </c>
      <c r="B451" s="40">
        <f t="shared" si="1"/>
        <v>265.7977153</v>
      </c>
      <c r="C451" s="40">
        <f t="shared" si="2"/>
        <v>224.5388576</v>
      </c>
      <c r="D451" s="40">
        <f>'長期'!D45</f>
        <v>231</v>
      </c>
      <c r="E451" s="40">
        <f t="shared" si="3"/>
        <v>142.0211424</v>
      </c>
      <c r="F451" s="40">
        <f t="shared" si="4"/>
        <v>100.7622847</v>
      </c>
    </row>
    <row r="452" ht="12.0" customHeight="1">
      <c r="A452" s="55">
        <f>IF('長期'!A44="","",'長期'!A44)</f>
        <v>45434</v>
      </c>
      <c r="B452" s="40">
        <f t="shared" si="1"/>
        <v>266.941579</v>
      </c>
      <c r="C452" s="40">
        <f t="shared" si="2"/>
        <v>226.0507895</v>
      </c>
      <c r="D452" s="40">
        <f>'長期'!D44</f>
        <v>200</v>
      </c>
      <c r="E452" s="40">
        <f t="shared" si="3"/>
        <v>144.2692105</v>
      </c>
      <c r="F452" s="40">
        <f t="shared" si="4"/>
        <v>103.378421</v>
      </c>
    </row>
    <row r="453" ht="12.0" customHeight="1">
      <c r="A453" s="55">
        <f>IF('長期'!A43="","",'長期'!A43)</f>
        <v>45435</v>
      </c>
      <c r="B453" s="40">
        <f t="shared" si="1"/>
        <v>268.1155499</v>
      </c>
      <c r="C453" s="40">
        <f t="shared" si="2"/>
        <v>227.757775</v>
      </c>
      <c r="D453" s="40">
        <f>'長期'!D43</f>
        <v>205</v>
      </c>
      <c r="E453" s="40">
        <f t="shared" si="3"/>
        <v>147.042225</v>
      </c>
      <c r="F453" s="40">
        <f t="shared" si="4"/>
        <v>106.6844501</v>
      </c>
    </row>
    <row r="454" ht="12.0" customHeight="1">
      <c r="A454" s="55">
        <f>IF('長期'!A42="","",'長期'!A42)</f>
        <v>45436</v>
      </c>
      <c r="B454" s="40">
        <f t="shared" si="1"/>
        <v>268.658732</v>
      </c>
      <c r="C454" s="40">
        <f t="shared" si="2"/>
        <v>229.149366</v>
      </c>
      <c r="D454" s="40">
        <f>'長期'!D42</f>
        <v>202</v>
      </c>
      <c r="E454" s="40">
        <f t="shared" si="3"/>
        <v>150.130634</v>
      </c>
      <c r="F454" s="40">
        <f t="shared" si="4"/>
        <v>110.621268</v>
      </c>
    </row>
    <row r="455" ht="12.0" customHeight="1">
      <c r="A455" s="55">
        <f>IF('長期'!A41="","",'長期'!A41)</f>
        <v>45439</v>
      </c>
      <c r="B455" s="40">
        <f t="shared" si="1"/>
        <v>268.3375373</v>
      </c>
      <c r="C455" s="40">
        <f t="shared" si="2"/>
        <v>230.1287686</v>
      </c>
      <c r="D455" s="40">
        <f>'長期'!D41</f>
        <v>198</v>
      </c>
      <c r="E455" s="40">
        <f t="shared" si="3"/>
        <v>153.7112314</v>
      </c>
      <c r="F455" s="40">
        <f t="shared" si="4"/>
        <v>115.5024627</v>
      </c>
    </row>
    <row r="456" ht="12.0" customHeight="1">
      <c r="A456" s="55">
        <f>IF('長期'!A40="","",'長期'!A40)</f>
        <v>45440</v>
      </c>
      <c r="B456" s="40">
        <f t="shared" si="1"/>
        <v>267.4775843</v>
      </c>
      <c r="C456" s="40">
        <f t="shared" si="2"/>
        <v>230.9387922</v>
      </c>
      <c r="D456" s="40">
        <f>'長期'!D40</f>
        <v>200</v>
      </c>
      <c r="E456" s="40">
        <f t="shared" si="3"/>
        <v>157.8612078</v>
      </c>
      <c r="F456" s="40">
        <f t="shared" si="4"/>
        <v>121.3224157</v>
      </c>
    </row>
    <row r="457" ht="12.0" customHeight="1">
      <c r="A457" s="55">
        <f>IF('長期'!A39="","",'長期'!A39)</f>
        <v>45441</v>
      </c>
      <c r="B457" s="40">
        <f t="shared" si="1"/>
        <v>265.8179261</v>
      </c>
      <c r="C457" s="40">
        <f t="shared" si="2"/>
        <v>230.988963</v>
      </c>
      <c r="D457" s="40">
        <f>'長期'!D39</f>
        <v>184</v>
      </c>
      <c r="E457" s="40">
        <f t="shared" si="3"/>
        <v>161.331037</v>
      </c>
      <c r="F457" s="40">
        <f t="shared" si="4"/>
        <v>126.5020739</v>
      </c>
    </row>
    <row r="458" ht="12.0" customHeight="1">
      <c r="A458" s="55">
        <f>IF('長期'!A38="","",'長期'!A38)</f>
        <v>45442</v>
      </c>
      <c r="B458" s="40">
        <f t="shared" si="1"/>
        <v>263.2982484</v>
      </c>
      <c r="C458" s="40">
        <f t="shared" si="2"/>
        <v>230.5091242</v>
      </c>
      <c r="D458" s="40">
        <f>'長期'!D38</f>
        <v>174</v>
      </c>
      <c r="E458" s="40">
        <f t="shared" si="3"/>
        <v>164.9308758</v>
      </c>
      <c r="F458" s="40">
        <f t="shared" si="4"/>
        <v>132.1417516</v>
      </c>
    </row>
    <row r="459" ht="12.0" customHeight="1">
      <c r="A459" s="55">
        <f>IF('長期'!A37="","",'長期'!A37)</f>
        <v>45443</v>
      </c>
      <c r="B459" s="40">
        <f t="shared" si="1"/>
        <v>260.0379119</v>
      </c>
      <c r="C459" s="40">
        <f t="shared" si="2"/>
        <v>229.898956</v>
      </c>
      <c r="D459" s="40">
        <f>'長期'!D37</f>
        <v>185</v>
      </c>
      <c r="E459" s="40">
        <f t="shared" si="3"/>
        <v>169.621044</v>
      </c>
      <c r="F459" s="40">
        <f t="shared" si="4"/>
        <v>139.4820881</v>
      </c>
    </row>
    <row r="460" ht="12.0" customHeight="1">
      <c r="A460" s="55">
        <f>IF('長期'!A36="","",'長期'!A36)</f>
        <v>45446</v>
      </c>
      <c r="B460" s="40">
        <f t="shared" si="1"/>
        <v>257.5270104</v>
      </c>
      <c r="C460" s="40">
        <f t="shared" si="2"/>
        <v>229.2435052</v>
      </c>
      <c r="D460" s="40">
        <f>'長期'!D36</f>
        <v>172</v>
      </c>
      <c r="E460" s="40">
        <f t="shared" si="3"/>
        <v>172.6764948</v>
      </c>
      <c r="F460" s="40">
        <f t="shared" si="4"/>
        <v>144.3929896</v>
      </c>
    </row>
    <row r="461" ht="12.0" customHeight="1">
      <c r="A461" s="55">
        <f>IF('長期'!A35="","",'長期'!A35)</f>
        <v>45447</v>
      </c>
      <c r="B461" s="40">
        <f t="shared" si="1"/>
        <v>256.0114519</v>
      </c>
      <c r="C461" s="40">
        <f t="shared" si="2"/>
        <v>228.845726</v>
      </c>
      <c r="D461" s="40">
        <f>'長期'!D35</f>
        <v>169</v>
      </c>
      <c r="E461" s="40">
        <f t="shared" si="3"/>
        <v>174.514274</v>
      </c>
      <c r="F461" s="40">
        <f t="shared" si="4"/>
        <v>147.3485481</v>
      </c>
    </row>
    <row r="462" ht="12.0" customHeight="1">
      <c r="A462" s="55">
        <f>IF('長期'!A34="","",'長期'!A34)</f>
        <v>45448</v>
      </c>
      <c r="B462" s="40">
        <f t="shared" si="1"/>
        <v>257.7924913</v>
      </c>
      <c r="C462" s="40">
        <f t="shared" si="2"/>
        <v>229.4362456</v>
      </c>
      <c r="D462" s="40">
        <f>'長期'!D34</f>
        <v>141</v>
      </c>
      <c r="E462" s="40">
        <f t="shared" si="3"/>
        <v>172.7237544</v>
      </c>
      <c r="F462" s="40">
        <f t="shared" si="4"/>
        <v>144.3675087</v>
      </c>
    </row>
    <row r="463" ht="12.0" customHeight="1">
      <c r="A463" s="55">
        <f>IF('長期'!A33="","",'長期'!A33)</f>
        <v>45449</v>
      </c>
      <c r="B463" s="40">
        <f t="shared" si="1"/>
        <v>260.5713275</v>
      </c>
      <c r="C463" s="40">
        <f t="shared" si="2"/>
        <v>230.1056637</v>
      </c>
      <c r="D463" s="40">
        <f>'長期'!D33</f>
        <v>141</v>
      </c>
      <c r="E463" s="40">
        <f t="shared" si="3"/>
        <v>169.1743363</v>
      </c>
      <c r="F463" s="40">
        <f t="shared" si="4"/>
        <v>138.7086725</v>
      </c>
    </row>
    <row r="464" ht="12.0" customHeight="1">
      <c r="A464" s="55">
        <f>IF('長期'!A32="","",'長期'!A32)</f>
        <v>45450</v>
      </c>
      <c r="B464" s="40">
        <f t="shared" si="1"/>
        <v>262.569801</v>
      </c>
      <c r="C464" s="40">
        <f t="shared" si="2"/>
        <v>230.6249005</v>
      </c>
      <c r="D464" s="40">
        <f>'長期'!D32</f>
        <v>141</v>
      </c>
      <c r="E464" s="40">
        <f t="shared" si="3"/>
        <v>166.7350995</v>
      </c>
      <c r="F464" s="40">
        <f t="shared" si="4"/>
        <v>134.790199</v>
      </c>
    </row>
    <row r="465" ht="12.0" customHeight="1">
      <c r="A465" s="55">
        <f>IF('長期'!A31="","",'長期'!A31)</f>
        <v>45453</v>
      </c>
      <c r="B465" s="40">
        <f t="shared" si="1"/>
        <v>264.8458529</v>
      </c>
      <c r="C465" s="40">
        <f t="shared" si="2"/>
        <v>231.2429265</v>
      </c>
      <c r="D465" s="40">
        <f>'長期'!D31</f>
        <v>135</v>
      </c>
      <c r="E465" s="40">
        <f t="shared" si="3"/>
        <v>164.0370735</v>
      </c>
      <c r="F465" s="40">
        <f t="shared" si="4"/>
        <v>130.4341471</v>
      </c>
    </row>
    <row r="466" ht="12.0" customHeight="1">
      <c r="A466" s="55">
        <f>IF('長期'!A30="","",'長期'!A30)</f>
        <v>45454</v>
      </c>
      <c r="B466" s="40">
        <f t="shared" si="1"/>
        <v>266.9623201</v>
      </c>
      <c r="C466" s="40">
        <f t="shared" si="2"/>
        <v>230.64116</v>
      </c>
      <c r="D466" s="40">
        <f>'長期'!D30</f>
        <v>127</v>
      </c>
      <c r="E466" s="40">
        <f t="shared" si="3"/>
        <v>157.99884</v>
      </c>
      <c r="F466" s="40">
        <f t="shared" si="4"/>
        <v>121.6776799</v>
      </c>
    </row>
    <row r="467" ht="12.0" customHeight="1">
      <c r="A467" s="55">
        <f>IF('長期'!A29="","",'長期'!A29)</f>
        <v>45455</v>
      </c>
      <c r="B467" s="40">
        <f t="shared" si="1"/>
        <v>265.3896627</v>
      </c>
      <c r="C467" s="40">
        <f t="shared" si="2"/>
        <v>227.1748313</v>
      </c>
      <c r="D467" s="40">
        <f>'長期'!D29</f>
        <v>112</v>
      </c>
      <c r="E467" s="40">
        <f t="shared" si="3"/>
        <v>150.7451687</v>
      </c>
      <c r="F467" s="40">
        <f t="shared" si="4"/>
        <v>112.5303373</v>
      </c>
    </row>
    <row r="468" ht="12.0" customHeight="1">
      <c r="A468" s="55">
        <f>IF('長期'!A28="","",'長期'!A28)</f>
        <v>45456</v>
      </c>
      <c r="B468" s="40">
        <f t="shared" si="1"/>
        <v>259.6775793</v>
      </c>
      <c r="C468" s="40">
        <f t="shared" si="2"/>
        <v>222.0587896</v>
      </c>
      <c r="D468" s="40">
        <f>'長期'!D28</f>
        <v>135</v>
      </c>
      <c r="E468" s="40">
        <f t="shared" si="3"/>
        <v>146.8212104</v>
      </c>
      <c r="F468" s="40">
        <f t="shared" si="4"/>
        <v>109.2024207</v>
      </c>
    </row>
    <row r="469" ht="12.0" customHeight="1">
      <c r="A469" s="55">
        <f>IF('長期'!A27="","",'長期'!A27)</f>
        <v>45457</v>
      </c>
      <c r="B469" s="40">
        <f t="shared" si="1"/>
        <v>255.5301943</v>
      </c>
      <c r="C469" s="40">
        <f t="shared" si="2"/>
        <v>217.9250972</v>
      </c>
      <c r="D469" s="40">
        <f>'長期'!D27</f>
        <v>131</v>
      </c>
      <c r="E469" s="40">
        <f t="shared" si="3"/>
        <v>142.7149028</v>
      </c>
      <c r="F469" s="40">
        <f t="shared" si="4"/>
        <v>105.1098057</v>
      </c>
    </row>
    <row r="470" ht="12.0" customHeight="1">
      <c r="A470" s="55">
        <f>IF('長期'!A26="","",'長期'!A26)</f>
        <v>45460</v>
      </c>
      <c r="B470" s="40">
        <f t="shared" si="1"/>
        <v>251.9874389</v>
      </c>
      <c r="C470" s="40">
        <f t="shared" si="2"/>
        <v>214.2337195</v>
      </c>
      <c r="D470" s="40">
        <f>'長期'!D26</f>
        <v>129</v>
      </c>
      <c r="E470" s="40">
        <f t="shared" si="3"/>
        <v>138.7262805</v>
      </c>
      <c r="F470" s="40">
        <f t="shared" si="4"/>
        <v>100.9725611</v>
      </c>
    </row>
    <row r="471" ht="12.0" customHeight="1">
      <c r="A471" s="55">
        <f>IF('長期'!A25="","",'長期'!A25)</f>
        <v>45461</v>
      </c>
      <c r="B471" s="40">
        <f t="shared" si="1"/>
        <v>247.1651416</v>
      </c>
      <c r="C471" s="40">
        <f t="shared" si="2"/>
        <v>210.0025708</v>
      </c>
      <c r="D471" s="40">
        <f>'長期'!D25</f>
        <v>135</v>
      </c>
      <c r="E471" s="40">
        <f t="shared" si="3"/>
        <v>135.6774292</v>
      </c>
      <c r="F471" s="40">
        <f t="shared" si="4"/>
        <v>98.51485845</v>
      </c>
    </row>
    <row r="472" ht="12.0" customHeight="1">
      <c r="A472" s="55">
        <f>IF('長期'!A24="","",'長期'!A24)</f>
        <v>45462</v>
      </c>
      <c r="B472" s="40">
        <f t="shared" si="1"/>
        <v>243.0067974</v>
      </c>
      <c r="C472" s="40">
        <f t="shared" si="2"/>
        <v>206.3833987</v>
      </c>
      <c r="D472" s="40">
        <f>'長期'!D24</f>
        <v>139</v>
      </c>
      <c r="E472" s="40">
        <f t="shared" si="3"/>
        <v>133.1366013</v>
      </c>
      <c r="F472" s="40">
        <f t="shared" si="4"/>
        <v>96.51320257</v>
      </c>
    </row>
    <row r="473" ht="12.0" customHeight="1">
      <c r="A473" s="55">
        <f>IF('長期'!A23="","",'長期'!A23)</f>
        <v>45463</v>
      </c>
      <c r="B473" s="40">
        <f t="shared" si="1"/>
        <v>239.4384796</v>
      </c>
      <c r="C473" s="40">
        <f t="shared" si="2"/>
        <v>203.2192398</v>
      </c>
      <c r="D473" s="40">
        <f>'長期'!D23</f>
        <v>139</v>
      </c>
      <c r="E473" s="40">
        <f t="shared" si="3"/>
        <v>130.7807602</v>
      </c>
      <c r="F473" s="40">
        <f t="shared" si="4"/>
        <v>94.56152035</v>
      </c>
    </row>
    <row r="474" ht="12.0" customHeight="1">
      <c r="A474" s="55">
        <f>IF('長期'!A22="","",'長期'!A22)</f>
        <v>45464</v>
      </c>
      <c r="B474" s="40">
        <f t="shared" si="1"/>
        <v>234.028224</v>
      </c>
      <c r="C474" s="40">
        <f t="shared" si="2"/>
        <v>198.954112</v>
      </c>
      <c r="D474" s="40">
        <f>'長期'!D22</f>
        <v>139</v>
      </c>
      <c r="E474" s="40">
        <f t="shared" si="3"/>
        <v>128.805888</v>
      </c>
      <c r="F474" s="40">
        <f t="shared" si="4"/>
        <v>93.73177598</v>
      </c>
    </row>
    <row r="475" ht="12.0" customHeight="1">
      <c r="A475" s="55">
        <f>IF('長期'!A21="","",'長期'!A21)</f>
        <v>45467</v>
      </c>
      <c r="B475" s="40">
        <f t="shared" si="1"/>
        <v>224.7405077</v>
      </c>
      <c r="C475" s="40">
        <f t="shared" si="2"/>
        <v>192.3702538</v>
      </c>
      <c r="D475" s="40">
        <f>'長期'!D21</f>
        <v>136</v>
      </c>
      <c r="E475" s="40">
        <f t="shared" si="3"/>
        <v>127.6297462</v>
      </c>
      <c r="F475" s="40">
        <f t="shared" si="4"/>
        <v>95.25949233</v>
      </c>
    </row>
    <row r="476" ht="12.0" customHeight="1">
      <c r="A476" s="55">
        <f>IF('長期'!A20="","",'長期'!A20)</f>
        <v>45468</v>
      </c>
      <c r="B476" s="40">
        <f t="shared" si="1"/>
        <v>214.4171312</v>
      </c>
      <c r="C476" s="40">
        <f t="shared" si="2"/>
        <v>185.2885656</v>
      </c>
      <c r="D476" s="40">
        <f>'長期'!D20</f>
        <v>135</v>
      </c>
      <c r="E476" s="40">
        <f t="shared" si="3"/>
        <v>127.0314344</v>
      </c>
      <c r="F476" s="40">
        <f t="shared" si="4"/>
        <v>97.90286882</v>
      </c>
    </row>
    <row r="477" ht="12.0" customHeight="1">
      <c r="A477" s="55">
        <f>IF('長期'!A19="","",'長期'!A19)</f>
        <v>45469</v>
      </c>
      <c r="B477" s="40">
        <f t="shared" si="1"/>
        <v>209.7542652</v>
      </c>
      <c r="C477" s="40">
        <f t="shared" si="2"/>
        <v>181.4371326</v>
      </c>
      <c r="D477" s="40">
        <f>'長期'!D19</f>
        <v>124</v>
      </c>
      <c r="E477" s="40">
        <f t="shared" si="3"/>
        <v>124.8028674</v>
      </c>
      <c r="F477" s="40">
        <f t="shared" si="4"/>
        <v>96.48573475</v>
      </c>
    </row>
    <row r="478" ht="12.0" customHeight="1">
      <c r="A478" s="55">
        <f>IF('長期'!A18="","",'長期'!A18)</f>
        <v>45470</v>
      </c>
      <c r="B478" s="40">
        <f t="shared" si="1"/>
        <v>203.6801874</v>
      </c>
      <c r="C478" s="40">
        <f t="shared" si="2"/>
        <v>176.6400937</v>
      </c>
      <c r="D478" s="40">
        <f>'長期'!D18</f>
        <v>117</v>
      </c>
      <c r="E478" s="40">
        <f t="shared" si="3"/>
        <v>122.5599063</v>
      </c>
      <c r="F478" s="40">
        <f t="shared" si="4"/>
        <v>95.51981262</v>
      </c>
    </row>
    <row r="479" ht="12.0" customHeight="1">
      <c r="A479" s="55">
        <f>IF('長期'!A17="","",'長期'!A17)</f>
        <v>45471</v>
      </c>
      <c r="B479" s="40">
        <f t="shared" si="1"/>
        <v>197.0969235</v>
      </c>
      <c r="C479" s="40">
        <f t="shared" si="2"/>
        <v>171.6684617</v>
      </c>
      <c r="D479" s="40">
        <f>'長期'!D17</f>
        <v>118</v>
      </c>
      <c r="E479" s="40">
        <f t="shared" si="3"/>
        <v>120.8115383</v>
      </c>
      <c r="F479" s="40">
        <f t="shared" si="4"/>
        <v>95.38307651</v>
      </c>
    </row>
    <row r="480" ht="12.0" customHeight="1">
      <c r="A480" s="55">
        <f>IF('長期'!A16="","",'長期'!A16)</f>
        <v>45474</v>
      </c>
      <c r="B480" s="40">
        <f t="shared" si="1"/>
        <v>191.0714419</v>
      </c>
      <c r="C480" s="40">
        <f t="shared" si="2"/>
        <v>166.815721</v>
      </c>
      <c r="D480" s="40">
        <f>'長期'!D16</f>
        <v>106</v>
      </c>
      <c r="E480" s="40">
        <f t="shared" si="3"/>
        <v>118.304279</v>
      </c>
      <c r="F480" s="40">
        <f t="shared" si="4"/>
        <v>94.04855805</v>
      </c>
    </row>
    <row r="481" ht="12.0" customHeight="1">
      <c r="A481" s="55">
        <f>IF('長期'!A15="","",'長期'!A15)</f>
        <v>45475</v>
      </c>
      <c r="B481" s="40">
        <f t="shared" si="1"/>
        <v>182.4897216</v>
      </c>
      <c r="C481" s="40">
        <f t="shared" si="2"/>
        <v>160.8448608</v>
      </c>
      <c r="D481" s="40">
        <f>'長期'!D15</f>
        <v>116</v>
      </c>
      <c r="E481" s="40">
        <f t="shared" si="3"/>
        <v>117.5551392</v>
      </c>
      <c r="F481" s="40">
        <f t="shared" si="4"/>
        <v>95.91027836</v>
      </c>
    </row>
    <row r="482" ht="12.0" customHeight="1">
      <c r="A482" s="55">
        <f>IF('長期'!A14="","",'長期'!A14)</f>
        <v>45476</v>
      </c>
      <c r="B482" s="40">
        <f t="shared" si="1"/>
        <v>176.1963777</v>
      </c>
      <c r="C482" s="40">
        <f t="shared" si="2"/>
        <v>156.5781888</v>
      </c>
      <c r="D482" s="40">
        <f>'長期'!D14</f>
        <v>128</v>
      </c>
      <c r="E482" s="40">
        <f t="shared" si="3"/>
        <v>117.3418112</v>
      </c>
      <c r="F482" s="40">
        <f t="shared" si="4"/>
        <v>97.72362232</v>
      </c>
    </row>
    <row r="483" ht="12.0" customHeight="1">
      <c r="A483" s="55">
        <f>IF('長期'!A13="","",'長期'!A13)</f>
        <v>45477</v>
      </c>
      <c r="B483" s="40">
        <f t="shared" si="1"/>
        <v>171.3248079</v>
      </c>
      <c r="C483" s="40">
        <f t="shared" si="2"/>
        <v>153.242404</v>
      </c>
      <c r="D483" s="40">
        <f>'長期'!D13</f>
        <v>129</v>
      </c>
      <c r="E483" s="40">
        <f t="shared" si="3"/>
        <v>117.077596</v>
      </c>
      <c r="F483" s="40">
        <f t="shared" si="4"/>
        <v>98.99519206</v>
      </c>
    </row>
    <row r="484" ht="12.0" customHeight="1">
      <c r="A484" s="55">
        <f>IF('長期'!A12="","",'長期'!A12)</f>
        <v>45478</v>
      </c>
      <c r="B484" s="40">
        <f t="shared" si="1"/>
        <v>162.6512591</v>
      </c>
      <c r="C484" s="40">
        <f t="shared" si="2"/>
        <v>147.8456296</v>
      </c>
      <c r="D484" s="40">
        <f>'長期'!D12</f>
        <v>132</v>
      </c>
      <c r="E484" s="40">
        <f t="shared" si="3"/>
        <v>118.2343704</v>
      </c>
      <c r="F484" s="40">
        <f t="shared" si="4"/>
        <v>103.4287409</v>
      </c>
    </row>
    <row r="485" ht="12.0" customHeight="1">
      <c r="A485" s="55">
        <f>IF('長期'!A11="","",'長期'!A11)</f>
        <v>45481</v>
      </c>
      <c r="B485" s="40">
        <f t="shared" si="1"/>
        <v>156.1655675</v>
      </c>
      <c r="C485" s="40">
        <f t="shared" si="2"/>
        <v>143.7827837</v>
      </c>
      <c r="D485" s="40">
        <f>'長期'!D11</f>
        <v>131</v>
      </c>
      <c r="E485" s="40">
        <f t="shared" si="3"/>
        <v>119.0172163</v>
      </c>
      <c r="F485" s="40">
        <f t="shared" si="4"/>
        <v>106.6344325</v>
      </c>
    </row>
    <row r="486" ht="12.0" customHeight="1">
      <c r="A486" s="55">
        <f>IF('長期'!A10="","",'長期'!A10)</f>
        <v>45482</v>
      </c>
      <c r="B486" s="40">
        <f t="shared" si="1"/>
        <v>148.9546769</v>
      </c>
      <c r="C486" s="40">
        <f t="shared" si="2"/>
        <v>139.2373385</v>
      </c>
      <c r="D486" s="40">
        <f>'長期'!D10</f>
        <v>122</v>
      </c>
      <c r="E486" s="40">
        <f t="shared" si="3"/>
        <v>119.8026615</v>
      </c>
      <c r="F486" s="40">
        <f t="shared" si="4"/>
        <v>110.0853231</v>
      </c>
    </row>
    <row r="487" ht="12.0" customHeight="1">
      <c r="A487" s="55">
        <f>IF('長期'!A9="","",'長期'!A9)</f>
        <v>45483</v>
      </c>
      <c r="B487" s="40">
        <f t="shared" si="1"/>
        <v>148.1363815</v>
      </c>
      <c r="C487" s="40">
        <f t="shared" si="2"/>
        <v>138.3081907</v>
      </c>
      <c r="D487" s="40">
        <f>'長期'!D9</f>
        <v>115</v>
      </c>
      <c r="E487" s="40">
        <f t="shared" si="3"/>
        <v>118.6518093</v>
      </c>
      <c r="F487" s="40">
        <f t="shared" si="4"/>
        <v>108.8236185</v>
      </c>
    </row>
    <row r="488" ht="12.0" customHeight="1">
      <c r="A488" s="55">
        <f>IF('長期'!A8="","",'長期'!A8)</f>
        <v>45484</v>
      </c>
      <c r="B488" s="40">
        <f t="shared" si="1"/>
        <v>147.7243705</v>
      </c>
      <c r="C488" s="40">
        <f t="shared" si="2"/>
        <v>137.4421852</v>
      </c>
      <c r="D488" s="40">
        <f>'長期'!D8</f>
        <v>108</v>
      </c>
      <c r="E488" s="40">
        <f t="shared" si="3"/>
        <v>116.8778148</v>
      </c>
      <c r="F488" s="40">
        <f t="shared" si="4"/>
        <v>106.5956295</v>
      </c>
    </row>
    <row r="489" ht="12.0" customHeight="1">
      <c r="A489" s="55">
        <f>IF('長期'!A7="","",'長期'!A7)</f>
        <v>45485</v>
      </c>
      <c r="B489" s="40">
        <f t="shared" si="1"/>
        <v>146.5831646</v>
      </c>
      <c r="C489" s="40">
        <f t="shared" si="2"/>
        <v>136.2915823</v>
      </c>
      <c r="D489" s="40">
        <f>'長期'!D7</f>
        <v>112</v>
      </c>
      <c r="E489" s="40">
        <f t="shared" si="3"/>
        <v>115.7084177</v>
      </c>
      <c r="F489" s="40">
        <f t="shared" si="4"/>
        <v>105.4168354</v>
      </c>
    </row>
    <row r="490" ht="12.0" customHeight="1">
      <c r="A490" s="55">
        <f>IF('長期'!A6="","",'長期'!A6)</f>
        <v>45489</v>
      </c>
      <c r="B490" s="40">
        <f t="shared" si="1"/>
        <v>147.1483688</v>
      </c>
      <c r="C490" s="40">
        <f t="shared" si="2"/>
        <v>135.8941844</v>
      </c>
      <c r="D490" s="40">
        <f>'長期'!D6</f>
        <v>101</v>
      </c>
      <c r="E490" s="40">
        <f t="shared" si="3"/>
        <v>113.3858156</v>
      </c>
      <c r="F490" s="40">
        <f t="shared" si="4"/>
        <v>102.1316312</v>
      </c>
    </row>
    <row r="491" ht="12.0" customHeight="1">
      <c r="A491" s="55">
        <f>IF('長期'!A5="","",'長期'!A5)</f>
        <v>45490</v>
      </c>
      <c r="B491" s="40">
        <f t="shared" si="1"/>
        <v>152.5326542</v>
      </c>
      <c r="C491" s="40">
        <f t="shared" si="2"/>
        <v>137.5463271</v>
      </c>
      <c r="D491" s="40">
        <f>'長期'!D5</f>
        <v>75</v>
      </c>
      <c r="E491" s="40">
        <f t="shared" si="3"/>
        <v>107.5736729</v>
      </c>
      <c r="F491" s="40">
        <f t="shared" si="4"/>
        <v>92.5873458</v>
      </c>
    </row>
    <row r="492" ht="12.0" customHeight="1">
      <c r="A492" s="55">
        <f>IF('長期'!A4="","",'長期'!A4)</f>
        <v>45491</v>
      </c>
      <c r="B492" s="40">
        <f t="shared" si="1"/>
        <v>156.4019479</v>
      </c>
      <c r="C492" s="40">
        <f t="shared" si="2"/>
        <v>138.7409739</v>
      </c>
      <c r="D492" s="40">
        <f>'長期'!D4</f>
        <v>75</v>
      </c>
      <c r="E492" s="40">
        <f t="shared" si="3"/>
        <v>103.4190261</v>
      </c>
      <c r="F492" s="40">
        <f t="shared" si="4"/>
        <v>85.75805215</v>
      </c>
    </row>
    <row r="493" ht="12.0" customHeight="1">
      <c r="A493" s="55">
        <f>IF('長期'!A3="","",'長期'!A3)</f>
        <v>45492</v>
      </c>
      <c r="B493" s="40">
        <f t="shared" si="1"/>
        <v>162.2939834</v>
      </c>
      <c r="C493" s="40">
        <f t="shared" si="2"/>
        <v>140.0069917</v>
      </c>
      <c r="D493" s="40">
        <f>'長期'!D3</f>
        <v>51</v>
      </c>
      <c r="E493" s="40">
        <f t="shared" si="3"/>
        <v>95.43300828</v>
      </c>
      <c r="F493" s="40">
        <f t="shared" si="4"/>
        <v>73.14601656</v>
      </c>
    </row>
    <row r="494" ht="12.0" customHeight="1">
      <c r="A494" s="55">
        <f>IF('長期'!A2="","",'長期'!A2)</f>
        <v>45495</v>
      </c>
      <c r="B494" s="40">
        <f t="shared" si="1"/>
        <v>161.2390587</v>
      </c>
      <c r="C494" s="40">
        <f t="shared" si="2"/>
        <v>138.8595293</v>
      </c>
      <c r="D494" s="40">
        <f>'長期'!D2</f>
        <v>100</v>
      </c>
      <c r="E494" s="40">
        <f t="shared" si="3"/>
        <v>94.10047066</v>
      </c>
      <c r="F494" s="40">
        <f t="shared" si="4"/>
        <v>71.72094133</v>
      </c>
    </row>
    <row r="495" ht="12.0" customHeight="1">
      <c r="A495" s="19"/>
      <c r="B495" s="19"/>
      <c r="C495" s="19"/>
      <c r="D495" s="19"/>
      <c r="E495" s="19"/>
      <c r="F495" s="19"/>
    </row>
    <row r="496" ht="12.0" customHeight="1">
      <c r="A496" s="19"/>
      <c r="B496" s="19"/>
      <c r="C496" s="19"/>
      <c r="D496" s="19"/>
      <c r="E496" s="19"/>
      <c r="F496" s="19"/>
    </row>
    <row r="497" ht="12.0" customHeight="1">
      <c r="A497" s="19"/>
      <c r="B497" s="19"/>
      <c r="C497" s="19"/>
      <c r="D497" s="19"/>
      <c r="E497" s="19"/>
      <c r="F497" s="19"/>
    </row>
    <row r="498" ht="12.0" customHeight="1">
      <c r="A498" s="19"/>
      <c r="B498" s="19"/>
      <c r="C498" s="19"/>
      <c r="D498" s="19"/>
      <c r="E498" s="19"/>
      <c r="F498" s="19"/>
    </row>
    <row r="499" ht="12.0" customHeight="1">
      <c r="A499" s="19"/>
      <c r="B499" s="19"/>
      <c r="C499" s="19"/>
      <c r="D499" s="19"/>
      <c r="E499" s="19"/>
      <c r="F499" s="19"/>
    </row>
    <row r="500" ht="12.0" customHeight="1">
      <c r="A500" s="19"/>
      <c r="B500" s="19"/>
      <c r="C500" s="19"/>
      <c r="D500" s="19"/>
      <c r="E500" s="19"/>
      <c r="F500" s="19"/>
    </row>
    <row r="501" ht="12.0" customHeight="1">
      <c r="A501" s="19"/>
      <c r="B501" s="19"/>
      <c r="C501" s="19"/>
      <c r="D501" s="19"/>
      <c r="E501" s="19"/>
      <c r="F501" s="19"/>
    </row>
    <row r="502" ht="12.0" customHeight="1">
      <c r="A502" s="19"/>
      <c r="B502" s="19"/>
      <c r="C502" s="19"/>
      <c r="D502" s="19"/>
      <c r="E502" s="19"/>
      <c r="F502" s="19"/>
    </row>
    <row r="503" ht="12.0" customHeight="1">
      <c r="A503" s="19"/>
      <c r="B503" s="19"/>
      <c r="C503" s="19"/>
      <c r="D503" s="19"/>
      <c r="E503" s="19"/>
      <c r="F503" s="19"/>
    </row>
    <row r="504" ht="12.0" customHeight="1">
      <c r="A504" s="19"/>
      <c r="B504" s="19"/>
      <c r="C504" s="19"/>
      <c r="D504" s="19"/>
      <c r="E504" s="19"/>
      <c r="F504" s="19"/>
    </row>
    <row r="505" ht="12.0" customHeight="1">
      <c r="A505" s="19"/>
      <c r="B505" s="19"/>
      <c r="C505" s="19"/>
      <c r="D505" s="19"/>
      <c r="E505" s="19"/>
      <c r="F505" s="19"/>
    </row>
    <row r="506" ht="12.0" customHeight="1">
      <c r="A506" s="19"/>
      <c r="B506" s="19"/>
      <c r="C506" s="19"/>
      <c r="D506" s="19"/>
      <c r="E506" s="19"/>
      <c r="F506" s="19"/>
    </row>
    <row r="507" ht="12.0" customHeight="1">
      <c r="A507" s="19"/>
      <c r="B507" s="19"/>
      <c r="C507" s="19"/>
      <c r="D507" s="19"/>
      <c r="E507" s="19"/>
      <c r="F507" s="19"/>
    </row>
    <row r="508" ht="12.0" customHeight="1">
      <c r="A508" s="19"/>
      <c r="B508" s="19"/>
      <c r="C508" s="19"/>
      <c r="D508" s="19"/>
      <c r="E508" s="19"/>
      <c r="F508" s="19"/>
    </row>
    <row r="509" ht="12.0" customHeight="1">
      <c r="A509" s="19"/>
      <c r="B509" s="19"/>
      <c r="C509" s="19"/>
      <c r="D509" s="19"/>
      <c r="E509" s="19"/>
      <c r="F509" s="19"/>
    </row>
    <row r="510" ht="12.0" customHeight="1">
      <c r="A510" s="19"/>
      <c r="B510" s="19"/>
      <c r="C510" s="19"/>
      <c r="D510" s="19"/>
      <c r="E510" s="19"/>
      <c r="F510" s="19"/>
    </row>
    <row r="511" ht="12.0" customHeight="1">
      <c r="A511" s="19"/>
      <c r="B511" s="19"/>
      <c r="C511" s="19"/>
      <c r="D511" s="19"/>
      <c r="E511" s="19"/>
      <c r="F511" s="19"/>
    </row>
    <row r="512" ht="12.0" customHeight="1">
      <c r="A512" s="19"/>
      <c r="B512" s="19"/>
      <c r="C512" s="19"/>
      <c r="D512" s="19"/>
      <c r="E512" s="19"/>
      <c r="F512" s="19"/>
    </row>
    <row r="513" ht="12.0" customHeight="1">
      <c r="A513" s="19"/>
      <c r="B513" s="19"/>
      <c r="C513" s="19"/>
      <c r="D513" s="19"/>
      <c r="E513" s="19"/>
      <c r="F513" s="19"/>
    </row>
    <row r="514" ht="12.0" customHeight="1">
      <c r="A514" s="19"/>
      <c r="B514" s="19"/>
      <c r="C514" s="19"/>
      <c r="D514" s="19"/>
      <c r="E514" s="19"/>
      <c r="F514" s="19"/>
    </row>
    <row r="515" ht="12.0" customHeight="1">
      <c r="A515" s="19"/>
      <c r="B515" s="19"/>
      <c r="C515" s="19"/>
      <c r="D515" s="19"/>
      <c r="E515" s="19"/>
      <c r="F515" s="19"/>
    </row>
    <row r="516" ht="12.0" customHeight="1">
      <c r="A516" s="19"/>
      <c r="B516" s="19"/>
      <c r="C516" s="19"/>
      <c r="D516" s="19"/>
      <c r="E516" s="19"/>
      <c r="F516" s="19"/>
    </row>
    <row r="517" ht="12.0" customHeight="1">
      <c r="A517" s="19"/>
      <c r="B517" s="19"/>
      <c r="C517" s="19"/>
      <c r="D517" s="19"/>
      <c r="E517" s="19"/>
      <c r="F517" s="19"/>
    </row>
    <row r="518" ht="12.0" customHeight="1">
      <c r="A518" s="19"/>
      <c r="B518" s="19"/>
      <c r="C518" s="19"/>
      <c r="D518" s="19"/>
      <c r="E518" s="19"/>
      <c r="F518" s="19"/>
    </row>
    <row r="519" ht="12.0" customHeight="1">
      <c r="A519" s="19"/>
      <c r="B519" s="19"/>
      <c r="C519" s="19"/>
      <c r="D519" s="19"/>
      <c r="E519" s="19"/>
      <c r="F519" s="19"/>
    </row>
    <row r="520" ht="12.0" customHeight="1">
      <c r="A520" s="19"/>
      <c r="B520" s="19"/>
      <c r="C520" s="19"/>
      <c r="D520" s="19"/>
      <c r="E520" s="19"/>
      <c r="F520" s="19"/>
    </row>
    <row r="521" ht="12.0" customHeight="1">
      <c r="A521" s="19"/>
      <c r="B521" s="19"/>
      <c r="C521" s="19"/>
      <c r="D521" s="19"/>
      <c r="E521" s="19"/>
      <c r="F521" s="19"/>
    </row>
    <row r="522" ht="12.0" customHeight="1">
      <c r="A522" s="19"/>
      <c r="B522" s="19"/>
      <c r="C522" s="19"/>
      <c r="D522" s="19"/>
      <c r="E522" s="19"/>
      <c r="F522" s="19"/>
    </row>
    <row r="523" ht="12.0" customHeight="1">
      <c r="A523" s="19"/>
      <c r="B523" s="19"/>
      <c r="C523" s="19"/>
      <c r="D523" s="19"/>
      <c r="E523" s="19"/>
      <c r="F523" s="19"/>
    </row>
    <row r="524" ht="12.0" customHeight="1">
      <c r="A524" s="19"/>
      <c r="B524" s="19"/>
      <c r="C524" s="19"/>
      <c r="D524" s="19"/>
      <c r="E524" s="19"/>
      <c r="F524" s="19"/>
    </row>
    <row r="525" ht="12.0" customHeight="1">
      <c r="A525" s="19"/>
      <c r="B525" s="19"/>
      <c r="C525" s="19"/>
      <c r="D525" s="19"/>
      <c r="E525" s="19"/>
      <c r="F525" s="19"/>
    </row>
    <row r="526" ht="12.0" customHeight="1">
      <c r="A526" s="19"/>
      <c r="B526" s="19"/>
      <c r="C526" s="19"/>
      <c r="D526" s="19"/>
      <c r="E526" s="19"/>
      <c r="F526" s="19"/>
    </row>
    <row r="527" ht="12.0" customHeight="1">
      <c r="A527" s="19"/>
      <c r="B527" s="19"/>
      <c r="C527" s="19"/>
      <c r="D527" s="19"/>
      <c r="E527" s="19"/>
      <c r="F527" s="19"/>
    </row>
    <row r="528" ht="12.0" customHeight="1">
      <c r="A528" s="19"/>
      <c r="B528" s="19"/>
      <c r="C528" s="19"/>
      <c r="D528" s="19"/>
      <c r="E528" s="19"/>
      <c r="F528" s="19"/>
    </row>
    <row r="529" ht="12.0" customHeight="1">
      <c r="A529" s="19"/>
      <c r="B529" s="19"/>
      <c r="C529" s="19"/>
      <c r="D529" s="19"/>
      <c r="E529" s="19"/>
      <c r="F529" s="19"/>
    </row>
    <row r="530" ht="12.0" customHeight="1">
      <c r="A530" s="19"/>
      <c r="B530" s="19"/>
      <c r="C530" s="19"/>
      <c r="D530" s="19"/>
      <c r="E530" s="19"/>
      <c r="F530" s="19"/>
    </row>
    <row r="531" ht="12.0" customHeight="1">
      <c r="A531" s="19"/>
      <c r="B531" s="19"/>
      <c r="C531" s="19"/>
      <c r="D531" s="19"/>
      <c r="E531" s="19"/>
      <c r="F531" s="19"/>
    </row>
    <row r="532" ht="12.0" customHeight="1">
      <c r="A532" s="19"/>
      <c r="B532" s="19"/>
      <c r="C532" s="19"/>
      <c r="D532" s="19"/>
      <c r="E532" s="19"/>
      <c r="F532" s="19"/>
    </row>
    <row r="533" ht="12.0" customHeight="1">
      <c r="A533" s="19"/>
      <c r="B533" s="19"/>
      <c r="C533" s="19"/>
      <c r="D533" s="19"/>
      <c r="E533" s="19"/>
      <c r="F533" s="19"/>
    </row>
    <row r="534" ht="12.0" customHeight="1">
      <c r="A534" s="19"/>
      <c r="B534" s="19"/>
      <c r="C534" s="19"/>
      <c r="D534" s="19"/>
      <c r="E534" s="19"/>
      <c r="F534" s="19"/>
    </row>
    <row r="535" ht="12.0" customHeight="1">
      <c r="A535" s="19"/>
      <c r="B535" s="19"/>
      <c r="C535" s="19"/>
      <c r="D535" s="19"/>
      <c r="E535" s="19"/>
      <c r="F535" s="19"/>
    </row>
    <row r="536" ht="12.0" customHeight="1">
      <c r="A536" s="19"/>
      <c r="B536" s="19"/>
      <c r="C536" s="19"/>
      <c r="D536" s="19"/>
      <c r="E536" s="19"/>
      <c r="F536" s="19"/>
    </row>
    <row r="537" ht="12.0" customHeight="1">
      <c r="A537" s="19"/>
      <c r="B537" s="19"/>
      <c r="C537" s="19"/>
      <c r="D537" s="19"/>
      <c r="E537" s="19"/>
      <c r="F537" s="19"/>
    </row>
    <row r="538" ht="12.0" customHeight="1">
      <c r="A538" s="19"/>
      <c r="B538" s="19"/>
      <c r="C538" s="19"/>
      <c r="D538" s="19"/>
      <c r="E538" s="19"/>
      <c r="F538" s="19"/>
    </row>
    <row r="539" ht="12.0" customHeight="1">
      <c r="A539" s="19"/>
      <c r="B539" s="19"/>
      <c r="C539" s="19"/>
      <c r="D539" s="19"/>
      <c r="E539" s="19"/>
      <c r="F539" s="19"/>
    </row>
    <row r="540" ht="12.0" customHeight="1">
      <c r="A540" s="19"/>
      <c r="B540" s="19"/>
      <c r="C540" s="19"/>
      <c r="D540" s="19"/>
      <c r="E540" s="19"/>
      <c r="F540" s="19"/>
    </row>
    <row r="541" ht="12.0" customHeight="1">
      <c r="A541" s="19"/>
      <c r="B541" s="19"/>
      <c r="C541" s="19"/>
      <c r="D541" s="19"/>
      <c r="E541" s="19"/>
      <c r="F541" s="19"/>
    </row>
    <row r="542" ht="12.0" customHeight="1">
      <c r="A542" s="19"/>
      <c r="B542" s="19"/>
      <c r="C542" s="19"/>
      <c r="D542" s="19"/>
      <c r="E542" s="19"/>
      <c r="F542" s="19"/>
    </row>
    <row r="543" ht="12.0" customHeight="1">
      <c r="A543" s="19"/>
      <c r="B543" s="19"/>
      <c r="C543" s="19"/>
      <c r="D543" s="19"/>
      <c r="E543" s="19"/>
      <c r="F543" s="19"/>
    </row>
    <row r="544" ht="12.0" customHeight="1">
      <c r="A544" s="19"/>
      <c r="B544" s="19"/>
      <c r="C544" s="19"/>
      <c r="D544" s="19"/>
      <c r="E544" s="19"/>
      <c r="F544" s="19"/>
    </row>
    <row r="545" ht="12.0" customHeight="1">
      <c r="A545" s="19"/>
      <c r="B545" s="19"/>
      <c r="C545" s="19"/>
      <c r="D545" s="19"/>
      <c r="E545" s="19"/>
      <c r="F545" s="19"/>
    </row>
    <row r="546" ht="12.0" customHeight="1">
      <c r="A546" s="19"/>
      <c r="B546" s="19"/>
      <c r="C546" s="19"/>
      <c r="D546" s="19"/>
      <c r="E546" s="19"/>
      <c r="F546" s="19"/>
    </row>
    <row r="547" ht="12.0" customHeight="1">
      <c r="A547" s="19"/>
      <c r="B547" s="19"/>
      <c r="C547" s="19"/>
      <c r="D547" s="19"/>
      <c r="E547" s="19"/>
      <c r="F547" s="19"/>
    </row>
    <row r="548" ht="12.0" customHeight="1">
      <c r="A548" s="19"/>
      <c r="B548" s="19"/>
      <c r="C548" s="19"/>
      <c r="D548" s="19"/>
      <c r="E548" s="19"/>
      <c r="F548" s="19"/>
    </row>
    <row r="549" ht="12.0" customHeight="1">
      <c r="A549" s="19"/>
      <c r="B549" s="19"/>
      <c r="C549" s="19"/>
      <c r="D549" s="19"/>
      <c r="E549" s="19"/>
      <c r="F549" s="19"/>
    </row>
    <row r="550" ht="12.0" customHeight="1">
      <c r="A550" s="19"/>
      <c r="B550" s="19"/>
      <c r="C550" s="19"/>
      <c r="D550" s="19"/>
      <c r="E550" s="19"/>
      <c r="F550" s="19"/>
    </row>
    <row r="551" ht="12.0" customHeight="1">
      <c r="A551" s="19"/>
      <c r="B551" s="19"/>
      <c r="C551" s="19"/>
      <c r="D551" s="19"/>
      <c r="E551" s="19"/>
      <c r="F551" s="19"/>
    </row>
    <row r="552" ht="12.0" customHeight="1">
      <c r="A552" s="19"/>
      <c r="B552" s="19"/>
      <c r="C552" s="19"/>
      <c r="D552" s="19"/>
      <c r="E552" s="19"/>
      <c r="F552" s="19"/>
    </row>
    <row r="553" ht="12.0" customHeight="1">
      <c r="A553" s="19"/>
      <c r="B553" s="19"/>
      <c r="C553" s="19"/>
      <c r="D553" s="19"/>
      <c r="E553" s="19"/>
      <c r="F553" s="19"/>
    </row>
    <row r="554" ht="12.0" customHeight="1">
      <c r="A554" s="19"/>
      <c r="B554" s="19"/>
      <c r="C554" s="19"/>
      <c r="D554" s="19"/>
      <c r="E554" s="19"/>
      <c r="F554" s="19"/>
    </row>
    <row r="555" ht="12.0" customHeight="1">
      <c r="A555" s="19"/>
      <c r="B555" s="19"/>
      <c r="C555" s="19"/>
      <c r="D555" s="19"/>
      <c r="E555" s="19"/>
      <c r="F555" s="19"/>
    </row>
    <row r="556" ht="12.0" customHeight="1">
      <c r="A556" s="19"/>
      <c r="B556" s="19"/>
      <c r="C556" s="19"/>
      <c r="D556" s="19"/>
      <c r="E556" s="19"/>
      <c r="F556" s="19"/>
    </row>
    <row r="557" ht="12.0" customHeight="1">
      <c r="A557" s="19"/>
      <c r="B557" s="19"/>
      <c r="C557" s="19"/>
      <c r="D557" s="19"/>
      <c r="E557" s="19"/>
      <c r="F557" s="19"/>
    </row>
    <row r="558" ht="12.0" customHeight="1">
      <c r="A558" s="19"/>
      <c r="B558" s="19"/>
      <c r="C558" s="19"/>
      <c r="D558" s="19"/>
      <c r="E558" s="19"/>
      <c r="F558" s="19"/>
    </row>
    <row r="559" ht="12.0" customHeight="1">
      <c r="A559" s="19"/>
      <c r="B559" s="19"/>
      <c r="C559" s="19"/>
      <c r="D559" s="19"/>
      <c r="E559" s="19"/>
      <c r="F559" s="19"/>
    </row>
    <row r="560" ht="12.0" customHeight="1">
      <c r="A560" s="19"/>
      <c r="B560" s="19"/>
      <c r="C560" s="19"/>
      <c r="D560" s="19"/>
      <c r="E560" s="19"/>
      <c r="F560" s="19"/>
    </row>
    <row r="561" ht="12.0" customHeight="1">
      <c r="A561" s="19"/>
      <c r="B561" s="19"/>
      <c r="C561" s="19"/>
      <c r="D561" s="19"/>
      <c r="E561" s="19"/>
      <c r="F561" s="19"/>
    </row>
    <row r="562" ht="12.0" customHeight="1">
      <c r="A562" s="19"/>
      <c r="B562" s="19"/>
      <c r="C562" s="19"/>
      <c r="D562" s="19"/>
      <c r="E562" s="19"/>
      <c r="F562" s="19"/>
    </row>
    <row r="563" ht="12.0" customHeight="1">
      <c r="A563" s="19"/>
      <c r="B563" s="19"/>
      <c r="C563" s="19"/>
      <c r="D563" s="19"/>
      <c r="E563" s="19"/>
      <c r="F563" s="19"/>
    </row>
    <row r="564" ht="12.0" customHeight="1">
      <c r="A564" s="19"/>
      <c r="B564" s="19"/>
      <c r="C564" s="19"/>
      <c r="D564" s="19"/>
      <c r="E564" s="19"/>
      <c r="F564" s="19"/>
    </row>
    <row r="565" ht="12.0" customHeight="1">
      <c r="A565" s="19"/>
      <c r="B565" s="19"/>
      <c r="C565" s="19"/>
      <c r="D565" s="19"/>
      <c r="E565" s="19"/>
      <c r="F565" s="19"/>
    </row>
    <row r="566" ht="12.0" customHeight="1">
      <c r="A566" s="19"/>
      <c r="B566" s="19"/>
      <c r="C566" s="19"/>
      <c r="D566" s="19"/>
      <c r="E566" s="19"/>
      <c r="F566" s="19"/>
    </row>
    <row r="567" ht="12.0" customHeight="1">
      <c r="A567" s="19"/>
      <c r="B567" s="19"/>
      <c r="C567" s="19"/>
      <c r="D567" s="19"/>
      <c r="E567" s="19"/>
      <c r="F567" s="19"/>
    </row>
    <row r="568" ht="12.0" customHeight="1">
      <c r="A568" s="19"/>
      <c r="B568" s="19"/>
      <c r="C568" s="19"/>
      <c r="D568" s="19"/>
      <c r="E568" s="19"/>
      <c r="F568" s="19"/>
    </row>
    <row r="569" ht="12.0" customHeight="1">
      <c r="A569" s="19"/>
      <c r="B569" s="19"/>
      <c r="C569" s="19"/>
      <c r="D569" s="19"/>
      <c r="E569" s="19"/>
      <c r="F569" s="19"/>
    </row>
    <row r="570" ht="12.0" customHeight="1">
      <c r="A570" s="19"/>
      <c r="B570" s="19"/>
      <c r="C570" s="19"/>
      <c r="D570" s="19"/>
      <c r="E570" s="19"/>
      <c r="F570" s="19"/>
    </row>
    <row r="571" ht="12.0" customHeight="1">
      <c r="A571" s="19"/>
      <c r="B571" s="19"/>
      <c r="C571" s="19"/>
      <c r="D571" s="19"/>
      <c r="E571" s="19"/>
      <c r="F571" s="19"/>
    </row>
    <row r="572" ht="12.0" customHeight="1">
      <c r="A572" s="19"/>
      <c r="B572" s="19"/>
      <c r="C572" s="19"/>
      <c r="D572" s="19"/>
      <c r="E572" s="19"/>
      <c r="F572" s="19"/>
    </row>
    <row r="573" ht="12.0" customHeight="1">
      <c r="A573" s="19"/>
      <c r="B573" s="19"/>
      <c r="C573" s="19"/>
      <c r="D573" s="19"/>
      <c r="E573" s="19"/>
      <c r="F573" s="19"/>
    </row>
    <row r="574" ht="12.0" customHeight="1">
      <c r="A574" s="19"/>
      <c r="B574" s="19"/>
      <c r="C574" s="19"/>
      <c r="D574" s="19"/>
      <c r="E574" s="19"/>
      <c r="F574" s="19"/>
    </row>
    <row r="575" ht="12.0" customHeight="1">
      <c r="A575" s="19"/>
      <c r="B575" s="19"/>
      <c r="C575" s="19"/>
      <c r="D575" s="19"/>
      <c r="E575" s="19"/>
      <c r="F575" s="19"/>
    </row>
    <row r="576" ht="12.0" customHeight="1">
      <c r="A576" s="19"/>
      <c r="B576" s="19"/>
      <c r="C576" s="19"/>
      <c r="D576" s="19"/>
      <c r="E576" s="19"/>
      <c r="F576" s="19"/>
    </row>
    <row r="577" ht="12.0" customHeight="1">
      <c r="A577" s="19"/>
      <c r="B577" s="19"/>
      <c r="C577" s="19"/>
      <c r="D577" s="19"/>
      <c r="E577" s="19"/>
      <c r="F577" s="19"/>
    </row>
    <row r="578" ht="12.0" customHeight="1">
      <c r="A578" s="19"/>
      <c r="B578" s="19"/>
      <c r="C578" s="19"/>
      <c r="D578" s="19"/>
      <c r="E578" s="19"/>
      <c r="F578" s="19"/>
    </row>
    <row r="579" ht="12.0" customHeight="1">
      <c r="A579" s="19"/>
      <c r="B579" s="19"/>
      <c r="C579" s="19"/>
      <c r="D579" s="19"/>
      <c r="E579" s="19"/>
      <c r="F579" s="19"/>
    </row>
    <row r="580" ht="12.0" customHeight="1">
      <c r="A580" s="19"/>
      <c r="B580" s="19"/>
      <c r="C580" s="19"/>
      <c r="D580" s="19"/>
      <c r="E580" s="19"/>
      <c r="F580" s="19"/>
    </row>
    <row r="581" ht="12.0" customHeight="1">
      <c r="A581" s="19"/>
      <c r="B581" s="19"/>
      <c r="C581" s="19"/>
      <c r="D581" s="19"/>
      <c r="E581" s="19"/>
      <c r="F581" s="19"/>
    </row>
    <row r="582" ht="12.0" customHeight="1">
      <c r="A582" s="19"/>
      <c r="B582" s="19"/>
      <c r="C582" s="19"/>
      <c r="D582" s="19"/>
      <c r="E582" s="19"/>
      <c r="F582" s="19"/>
    </row>
    <row r="583" ht="12.0" customHeight="1">
      <c r="A583" s="19"/>
      <c r="B583" s="19"/>
      <c r="C583" s="19"/>
      <c r="D583" s="19"/>
      <c r="E583" s="19"/>
      <c r="F583" s="19"/>
    </row>
    <row r="584" ht="12.0" customHeight="1">
      <c r="A584" s="19"/>
      <c r="B584" s="19"/>
      <c r="C584" s="19"/>
      <c r="D584" s="19"/>
      <c r="E584" s="19"/>
      <c r="F584" s="19"/>
    </row>
    <row r="585" ht="12.0" customHeight="1">
      <c r="A585" s="19"/>
      <c r="B585" s="19"/>
      <c r="C585" s="19"/>
      <c r="D585" s="19"/>
      <c r="E585" s="19"/>
      <c r="F585" s="19"/>
    </row>
    <row r="586" ht="12.0" customHeight="1">
      <c r="A586" s="19"/>
      <c r="B586" s="19"/>
      <c r="C586" s="19"/>
      <c r="D586" s="19"/>
      <c r="E586" s="19"/>
      <c r="F586" s="19"/>
    </row>
    <row r="587" ht="12.0" customHeight="1">
      <c r="A587" s="19"/>
      <c r="B587" s="19"/>
      <c r="C587" s="19"/>
      <c r="D587" s="19"/>
      <c r="E587" s="19"/>
      <c r="F587" s="19"/>
    </row>
    <row r="588" ht="12.0" customHeight="1">
      <c r="A588" s="19"/>
      <c r="B588" s="19"/>
      <c r="C588" s="19"/>
      <c r="D588" s="19"/>
      <c r="E588" s="19"/>
      <c r="F588" s="19"/>
    </row>
    <row r="589" ht="12.0" customHeight="1">
      <c r="A589" s="19"/>
      <c r="B589" s="19"/>
      <c r="C589" s="19"/>
      <c r="D589" s="19"/>
      <c r="E589" s="19"/>
      <c r="F589" s="19"/>
    </row>
    <row r="590" ht="12.0" customHeight="1">
      <c r="A590" s="19"/>
      <c r="B590" s="19"/>
      <c r="C590" s="19"/>
      <c r="D590" s="19"/>
      <c r="E590" s="19"/>
      <c r="F590" s="19"/>
    </row>
    <row r="591" ht="12.0" customHeight="1">
      <c r="A591" s="19"/>
      <c r="B591" s="19"/>
      <c r="C591" s="19"/>
      <c r="D591" s="19"/>
      <c r="E591" s="19"/>
      <c r="F591" s="19"/>
    </row>
    <row r="592" ht="12.0" customHeight="1">
      <c r="A592" s="19"/>
      <c r="B592" s="19"/>
      <c r="C592" s="19"/>
      <c r="D592" s="19"/>
      <c r="E592" s="19"/>
      <c r="F592" s="19"/>
    </row>
    <row r="593" ht="12.0" customHeight="1">
      <c r="A593" s="19"/>
      <c r="B593" s="19"/>
      <c r="C593" s="19"/>
      <c r="D593" s="19"/>
      <c r="E593" s="19"/>
      <c r="F593" s="19"/>
    </row>
    <row r="594" ht="12.0" customHeight="1">
      <c r="A594" s="19"/>
      <c r="B594" s="19"/>
      <c r="C594" s="19"/>
      <c r="D594" s="19"/>
      <c r="E594" s="19"/>
      <c r="F594" s="19"/>
    </row>
    <row r="595" ht="12.0" customHeight="1">
      <c r="A595" s="19"/>
      <c r="B595" s="19"/>
      <c r="C595" s="19"/>
      <c r="D595" s="19"/>
      <c r="E595" s="19"/>
      <c r="F595" s="19"/>
    </row>
    <row r="596" ht="12.0" customHeight="1">
      <c r="A596" s="19"/>
      <c r="B596" s="19"/>
      <c r="C596" s="19"/>
      <c r="D596" s="19"/>
      <c r="E596" s="19"/>
      <c r="F596" s="19"/>
    </row>
    <row r="597" ht="12.0" customHeight="1">
      <c r="A597" s="19"/>
      <c r="B597" s="19"/>
      <c r="C597" s="19"/>
      <c r="D597" s="19"/>
      <c r="E597" s="19"/>
      <c r="F597" s="19"/>
    </row>
    <row r="598" ht="12.0" customHeight="1">
      <c r="A598" s="19"/>
      <c r="B598" s="19"/>
      <c r="C598" s="19"/>
      <c r="D598" s="19"/>
      <c r="E598" s="19"/>
      <c r="F598" s="19"/>
    </row>
    <row r="599" ht="12.0" customHeight="1">
      <c r="A599" s="19"/>
      <c r="B599" s="19"/>
      <c r="C599" s="19"/>
      <c r="D599" s="19"/>
      <c r="E599" s="19"/>
      <c r="F599" s="19"/>
    </row>
    <row r="600" ht="12.0" customHeight="1">
      <c r="A600" s="19"/>
      <c r="B600" s="19"/>
      <c r="C600" s="19"/>
      <c r="D600" s="19"/>
      <c r="E600" s="19"/>
      <c r="F600" s="19"/>
    </row>
    <row r="601" ht="12.0" customHeight="1">
      <c r="A601" s="19"/>
      <c r="B601" s="19"/>
      <c r="C601" s="19"/>
      <c r="D601" s="19"/>
      <c r="E601" s="19"/>
      <c r="F601" s="19"/>
    </row>
    <row r="602" ht="12.0" customHeight="1">
      <c r="A602" s="19"/>
      <c r="B602" s="19"/>
      <c r="C602" s="19"/>
      <c r="D602" s="19"/>
      <c r="E602" s="19"/>
      <c r="F602" s="19"/>
    </row>
    <row r="603" ht="12.0" customHeight="1">
      <c r="A603" s="19"/>
      <c r="B603" s="19"/>
      <c r="C603" s="19"/>
      <c r="D603" s="19"/>
      <c r="E603" s="19"/>
      <c r="F603" s="19"/>
    </row>
    <row r="604" ht="12.0" customHeight="1">
      <c r="A604" s="19"/>
      <c r="B604" s="19"/>
      <c r="C604" s="19"/>
      <c r="D604" s="19"/>
      <c r="E604" s="19"/>
      <c r="F604" s="19"/>
    </row>
    <row r="605" ht="12.0" customHeight="1">
      <c r="A605" s="19"/>
      <c r="B605" s="19"/>
      <c r="C605" s="19"/>
      <c r="D605" s="19"/>
      <c r="E605" s="19"/>
      <c r="F605" s="19"/>
    </row>
    <row r="606" ht="12.0" customHeight="1">
      <c r="A606" s="19"/>
      <c r="B606" s="19"/>
      <c r="C606" s="19"/>
      <c r="D606" s="19"/>
      <c r="E606" s="19"/>
      <c r="F606" s="19"/>
    </row>
    <row r="607" ht="12.0" customHeight="1">
      <c r="A607" s="19"/>
      <c r="B607" s="19"/>
      <c r="C607" s="19"/>
      <c r="D607" s="19"/>
      <c r="E607" s="19"/>
      <c r="F607" s="19"/>
    </row>
    <row r="608" ht="12.0" customHeight="1">
      <c r="A608" s="19"/>
      <c r="B608" s="19"/>
      <c r="C608" s="19"/>
      <c r="D608" s="19"/>
      <c r="E608" s="19"/>
      <c r="F608" s="19"/>
    </row>
    <row r="609" ht="12.0" customHeight="1">
      <c r="A609" s="19"/>
      <c r="B609" s="19"/>
      <c r="C609" s="19"/>
      <c r="D609" s="19"/>
      <c r="E609" s="19"/>
      <c r="F609" s="19"/>
    </row>
    <row r="610" ht="12.0" customHeight="1">
      <c r="A610" s="19"/>
      <c r="B610" s="19"/>
      <c r="C610" s="19"/>
      <c r="D610" s="19"/>
      <c r="E610" s="19"/>
      <c r="F610" s="19"/>
    </row>
    <row r="611" ht="12.0" customHeight="1">
      <c r="A611" s="19"/>
      <c r="B611" s="19"/>
      <c r="C611" s="19"/>
      <c r="D611" s="19"/>
      <c r="E611" s="19"/>
      <c r="F611" s="19"/>
    </row>
    <row r="612" ht="12.0" customHeight="1">
      <c r="A612" s="19"/>
      <c r="B612" s="19"/>
      <c r="C612" s="19"/>
      <c r="D612" s="19"/>
      <c r="E612" s="19"/>
      <c r="F612" s="19"/>
    </row>
    <row r="613" ht="12.0" customHeight="1">
      <c r="A613" s="19"/>
      <c r="B613" s="19"/>
      <c r="C613" s="19"/>
      <c r="D613" s="19"/>
      <c r="E613" s="19"/>
      <c r="F613" s="19"/>
    </row>
    <row r="614" ht="12.0" customHeight="1">
      <c r="A614" s="19"/>
      <c r="B614" s="19"/>
      <c r="C614" s="19"/>
      <c r="D614" s="19"/>
      <c r="E614" s="19"/>
      <c r="F614" s="19"/>
    </row>
    <row r="615" ht="12.0" customHeight="1">
      <c r="A615" s="19"/>
      <c r="B615" s="19"/>
      <c r="C615" s="19"/>
      <c r="D615" s="19"/>
      <c r="E615" s="19"/>
      <c r="F615" s="19"/>
    </row>
    <row r="616" ht="12.0" customHeight="1">
      <c r="A616" s="19"/>
      <c r="B616" s="19"/>
      <c r="C616" s="19"/>
      <c r="D616" s="19"/>
      <c r="E616" s="19"/>
      <c r="F616" s="19"/>
    </row>
    <row r="617" ht="12.0" customHeight="1">
      <c r="A617" s="19"/>
      <c r="B617" s="19"/>
      <c r="C617" s="19"/>
      <c r="D617" s="19"/>
      <c r="E617" s="19"/>
      <c r="F617" s="19"/>
    </row>
    <row r="618" ht="12.0" customHeight="1">
      <c r="A618" s="19"/>
      <c r="B618" s="19"/>
      <c r="C618" s="19"/>
      <c r="D618" s="19"/>
      <c r="E618" s="19"/>
      <c r="F618" s="19"/>
    </row>
    <row r="619" ht="12.0" customHeight="1">
      <c r="A619" s="19"/>
      <c r="B619" s="19"/>
      <c r="C619" s="19"/>
      <c r="D619" s="19"/>
      <c r="E619" s="19"/>
      <c r="F619" s="19"/>
    </row>
    <row r="620" ht="12.0" customHeight="1">
      <c r="A620" s="19"/>
      <c r="B620" s="19"/>
      <c r="C620" s="19"/>
      <c r="D620" s="19"/>
      <c r="E620" s="19"/>
      <c r="F620" s="19"/>
    </row>
    <row r="621" ht="12.0" customHeight="1">
      <c r="A621" s="19"/>
      <c r="B621" s="19"/>
      <c r="C621" s="19"/>
      <c r="D621" s="19"/>
      <c r="E621" s="19"/>
      <c r="F621" s="19"/>
    </row>
    <row r="622" ht="12.0" customHeight="1">
      <c r="A622" s="19"/>
      <c r="B622" s="19"/>
      <c r="C622" s="19"/>
      <c r="D622" s="19"/>
      <c r="E622" s="19"/>
      <c r="F622" s="19"/>
    </row>
    <row r="623" ht="12.0" customHeight="1">
      <c r="A623" s="19"/>
      <c r="B623" s="19"/>
      <c r="C623" s="19"/>
      <c r="D623" s="19"/>
      <c r="E623" s="19"/>
      <c r="F623" s="19"/>
    </row>
    <row r="624" ht="12.0" customHeight="1">
      <c r="A624" s="19"/>
      <c r="B624" s="19"/>
      <c r="C624" s="19"/>
      <c r="D624" s="19"/>
      <c r="E624" s="19"/>
      <c r="F624" s="19"/>
    </row>
    <row r="625" ht="12.0" customHeight="1">
      <c r="A625" s="19"/>
      <c r="B625" s="19"/>
      <c r="C625" s="19"/>
      <c r="D625" s="19"/>
      <c r="E625" s="19"/>
      <c r="F625" s="19"/>
    </row>
    <row r="626" ht="12.0" customHeight="1">
      <c r="A626" s="19"/>
      <c r="B626" s="19"/>
      <c r="C626" s="19"/>
      <c r="D626" s="19"/>
      <c r="E626" s="19"/>
      <c r="F626" s="19"/>
    </row>
    <row r="627" ht="12.0" customHeight="1">
      <c r="A627" s="19"/>
      <c r="B627" s="19"/>
      <c r="C627" s="19"/>
      <c r="D627" s="19"/>
      <c r="E627" s="19"/>
      <c r="F627" s="19"/>
    </row>
    <row r="628" ht="12.0" customHeight="1">
      <c r="A628" s="19"/>
      <c r="B628" s="19"/>
      <c r="C628" s="19"/>
      <c r="D628" s="19"/>
      <c r="E628" s="19"/>
      <c r="F628" s="19"/>
    </row>
    <row r="629" ht="12.0" customHeight="1">
      <c r="A629" s="19"/>
      <c r="B629" s="19"/>
      <c r="C629" s="19"/>
      <c r="D629" s="19"/>
      <c r="E629" s="19"/>
      <c r="F629" s="19"/>
    </row>
    <row r="630" ht="12.0" customHeight="1">
      <c r="A630" s="19"/>
      <c r="B630" s="19"/>
      <c r="C630" s="19"/>
      <c r="D630" s="19"/>
      <c r="E630" s="19"/>
      <c r="F630" s="19"/>
    </row>
    <row r="631" ht="12.0" customHeight="1">
      <c r="A631" s="19"/>
      <c r="B631" s="19"/>
      <c r="C631" s="19"/>
      <c r="D631" s="19"/>
      <c r="E631" s="19"/>
      <c r="F631" s="19"/>
    </row>
    <row r="632" ht="12.0" customHeight="1">
      <c r="A632" s="19"/>
      <c r="B632" s="19"/>
      <c r="C632" s="19"/>
      <c r="D632" s="19"/>
      <c r="E632" s="19"/>
      <c r="F632" s="19"/>
    </row>
    <row r="633" ht="12.0" customHeight="1">
      <c r="A633" s="19"/>
      <c r="B633" s="19"/>
      <c r="C633" s="19"/>
      <c r="D633" s="19"/>
      <c r="E633" s="19"/>
      <c r="F633" s="19"/>
    </row>
    <row r="634" ht="12.0" customHeight="1">
      <c r="A634" s="19"/>
      <c r="B634" s="19"/>
      <c r="C634" s="19"/>
      <c r="D634" s="19"/>
      <c r="E634" s="19"/>
      <c r="F634" s="19"/>
    </row>
    <row r="635" ht="12.0" customHeight="1">
      <c r="A635" s="19"/>
      <c r="B635" s="19"/>
      <c r="C635" s="19"/>
      <c r="D635" s="19"/>
      <c r="E635" s="19"/>
      <c r="F635" s="19"/>
    </row>
    <row r="636" ht="12.0" customHeight="1">
      <c r="A636" s="19"/>
      <c r="B636" s="19"/>
      <c r="C636" s="19"/>
      <c r="D636" s="19"/>
      <c r="E636" s="19"/>
      <c r="F636" s="19"/>
    </row>
    <row r="637" ht="12.0" customHeight="1">
      <c r="A637" s="19"/>
      <c r="B637" s="19"/>
      <c r="C637" s="19"/>
      <c r="D637" s="19"/>
      <c r="E637" s="19"/>
      <c r="F637" s="19"/>
    </row>
    <row r="638" ht="12.0" customHeight="1">
      <c r="A638" s="19"/>
      <c r="B638" s="19"/>
      <c r="C638" s="19"/>
      <c r="D638" s="19"/>
      <c r="E638" s="19"/>
      <c r="F638" s="19"/>
    </row>
    <row r="639" ht="12.0" customHeight="1">
      <c r="A639" s="19"/>
      <c r="B639" s="19"/>
      <c r="C639" s="19"/>
      <c r="D639" s="19"/>
      <c r="E639" s="19"/>
      <c r="F639" s="19"/>
    </row>
    <row r="640" ht="12.0" customHeight="1">
      <c r="A640" s="19"/>
      <c r="B640" s="19"/>
      <c r="C640" s="19"/>
      <c r="D640" s="19"/>
      <c r="E640" s="19"/>
      <c r="F640" s="19"/>
    </row>
    <row r="641" ht="12.0" customHeight="1">
      <c r="A641" s="19"/>
      <c r="B641" s="19"/>
      <c r="C641" s="19"/>
      <c r="D641" s="19"/>
      <c r="E641" s="19"/>
      <c r="F641" s="19"/>
    </row>
    <row r="642" ht="12.0" customHeight="1">
      <c r="A642" s="19"/>
      <c r="B642" s="19"/>
      <c r="C642" s="19"/>
      <c r="D642" s="19"/>
      <c r="E642" s="19"/>
      <c r="F642" s="19"/>
    </row>
    <row r="643" ht="12.0" customHeight="1">
      <c r="A643" s="19"/>
      <c r="B643" s="19"/>
      <c r="C643" s="19"/>
      <c r="D643" s="19"/>
      <c r="E643" s="19"/>
      <c r="F643" s="19"/>
    </row>
    <row r="644" ht="12.0" customHeight="1">
      <c r="A644" s="19"/>
      <c r="B644" s="19"/>
      <c r="C644" s="19"/>
      <c r="D644" s="19"/>
      <c r="E644" s="19"/>
      <c r="F644" s="19"/>
    </row>
    <row r="645" ht="12.0" customHeight="1">
      <c r="A645" s="19"/>
      <c r="B645" s="19"/>
      <c r="C645" s="19"/>
      <c r="D645" s="19"/>
      <c r="E645" s="19"/>
      <c r="F645" s="19"/>
    </row>
    <row r="646" ht="12.0" customHeight="1">
      <c r="A646" s="19"/>
      <c r="B646" s="19"/>
      <c r="C646" s="19"/>
      <c r="D646" s="19"/>
      <c r="E646" s="19"/>
      <c r="F646" s="19"/>
    </row>
    <row r="647" ht="12.0" customHeight="1">
      <c r="A647" s="19"/>
      <c r="B647" s="19"/>
      <c r="C647" s="19"/>
      <c r="D647" s="19"/>
      <c r="E647" s="19"/>
      <c r="F647" s="19"/>
    </row>
    <row r="648" ht="12.0" customHeight="1">
      <c r="A648" s="19"/>
      <c r="B648" s="19"/>
      <c r="C648" s="19"/>
      <c r="D648" s="19"/>
      <c r="E648" s="19"/>
      <c r="F648" s="19"/>
    </row>
    <row r="649" ht="12.0" customHeight="1">
      <c r="A649" s="19"/>
      <c r="B649" s="19"/>
      <c r="C649" s="19"/>
      <c r="D649" s="19"/>
      <c r="E649" s="19"/>
      <c r="F649" s="19"/>
    </row>
    <row r="650" ht="12.0" customHeight="1">
      <c r="A650" s="19"/>
      <c r="B650" s="19"/>
      <c r="C650" s="19"/>
      <c r="D650" s="19"/>
      <c r="E650" s="19"/>
      <c r="F650" s="19"/>
    </row>
    <row r="651" ht="12.0" customHeight="1">
      <c r="A651" s="19"/>
      <c r="B651" s="19"/>
      <c r="C651" s="19"/>
      <c r="D651" s="19"/>
      <c r="E651" s="19"/>
      <c r="F651" s="19"/>
    </row>
    <row r="652" ht="12.0" customHeight="1">
      <c r="A652" s="19"/>
      <c r="B652" s="19"/>
      <c r="C652" s="19"/>
      <c r="D652" s="19"/>
      <c r="E652" s="19"/>
      <c r="F652" s="19"/>
    </row>
    <row r="653" ht="12.0" customHeight="1">
      <c r="A653" s="19"/>
      <c r="B653" s="19"/>
      <c r="C653" s="19"/>
      <c r="D653" s="19"/>
      <c r="E653" s="19"/>
      <c r="F653" s="19"/>
    </row>
    <row r="654" ht="12.0" customHeight="1">
      <c r="A654" s="19"/>
      <c r="B654" s="19"/>
      <c r="C654" s="19"/>
      <c r="D654" s="19"/>
      <c r="E654" s="19"/>
      <c r="F654" s="19"/>
    </row>
    <row r="655" ht="12.0" customHeight="1">
      <c r="A655" s="19"/>
      <c r="B655" s="19"/>
      <c r="C655" s="19"/>
      <c r="D655" s="19"/>
      <c r="E655" s="19"/>
      <c r="F655" s="19"/>
    </row>
    <row r="656" ht="12.0" customHeight="1">
      <c r="A656" s="19"/>
      <c r="B656" s="19"/>
      <c r="C656" s="19"/>
      <c r="D656" s="19"/>
      <c r="E656" s="19"/>
      <c r="F656" s="19"/>
    </row>
    <row r="657" ht="12.0" customHeight="1">
      <c r="A657" s="19"/>
      <c r="B657" s="19"/>
      <c r="C657" s="19"/>
      <c r="D657" s="19"/>
      <c r="E657" s="19"/>
      <c r="F657" s="19"/>
    </row>
    <row r="658" ht="12.0" customHeight="1">
      <c r="A658" s="19"/>
      <c r="B658" s="19"/>
      <c r="C658" s="19"/>
      <c r="D658" s="19"/>
      <c r="E658" s="19"/>
      <c r="F658" s="19"/>
    </row>
    <row r="659" ht="12.0" customHeight="1">
      <c r="A659" s="19"/>
      <c r="B659" s="19"/>
      <c r="C659" s="19"/>
      <c r="D659" s="19"/>
      <c r="E659" s="19"/>
      <c r="F659" s="19"/>
    </row>
    <row r="660" ht="12.0" customHeight="1">
      <c r="A660" s="19"/>
      <c r="B660" s="19"/>
      <c r="C660" s="19"/>
      <c r="D660" s="19"/>
      <c r="E660" s="19"/>
      <c r="F660" s="19"/>
    </row>
    <row r="661" ht="12.0" customHeight="1">
      <c r="A661" s="19"/>
      <c r="B661" s="19"/>
      <c r="C661" s="19"/>
      <c r="D661" s="19"/>
      <c r="E661" s="19"/>
      <c r="F661" s="19"/>
    </row>
    <row r="662" ht="12.0" customHeight="1">
      <c r="A662" s="19"/>
      <c r="B662" s="19"/>
      <c r="C662" s="19"/>
      <c r="D662" s="19"/>
      <c r="E662" s="19"/>
      <c r="F662" s="19"/>
    </row>
    <row r="663" ht="12.0" customHeight="1">
      <c r="A663" s="19"/>
      <c r="B663" s="19"/>
      <c r="C663" s="19"/>
      <c r="D663" s="19"/>
      <c r="E663" s="19"/>
      <c r="F663" s="19"/>
    </row>
    <row r="664" ht="12.0" customHeight="1">
      <c r="A664" s="19"/>
      <c r="B664" s="19"/>
      <c r="C664" s="19"/>
      <c r="D664" s="19"/>
      <c r="E664" s="19"/>
      <c r="F664" s="19"/>
    </row>
    <row r="665" ht="12.0" customHeight="1">
      <c r="A665" s="19"/>
      <c r="B665" s="19"/>
      <c r="C665" s="19"/>
      <c r="D665" s="19"/>
      <c r="E665" s="19"/>
      <c r="F665" s="19"/>
    </row>
    <row r="666" ht="12.0" customHeight="1">
      <c r="A666" s="19"/>
      <c r="B666" s="19"/>
      <c r="C666" s="19"/>
      <c r="D666" s="19"/>
      <c r="E666" s="19"/>
      <c r="F666" s="19"/>
    </row>
    <row r="667" ht="12.0" customHeight="1">
      <c r="A667" s="19"/>
      <c r="B667" s="19"/>
      <c r="C667" s="19"/>
      <c r="D667" s="19"/>
      <c r="E667" s="19"/>
      <c r="F667" s="19"/>
    </row>
    <row r="668" ht="12.0" customHeight="1">
      <c r="A668" s="19"/>
      <c r="B668" s="19"/>
      <c r="C668" s="19"/>
      <c r="D668" s="19"/>
      <c r="E668" s="19"/>
      <c r="F668" s="19"/>
    </row>
    <row r="669" ht="12.0" customHeight="1">
      <c r="A669" s="19"/>
      <c r="B669" s="19"/>
      <c r="C669" s="19"/>
      <c r="D669" s="19"/>
      <c r="E669" s="19"/>
      <c r="F669" s="19"/>
    </row>
    <row r="670" ht="12.0" customHeight="1">
      <c r="A670" s="19"/>
      <c r="B670" s="19"/>
      <c r="C670" s="19"/>
      <c r="D670" s="19"/>
      <c r="E670" s="19"/>
      <c r="F670" s="19"/>
    </row>
    <row r="671" ht="12.0" customHeight="1">
      <c r="A671" s="19"/>
      <c r="B671" s="19"/>
      <c r="C671" s="19"/>
      <c r="D671" s="19"/>
      <c r="E671" s="19"/>
      <c r="F671" s="19"/>
    </row>
    <row r="672" ht="12.0" customHeight="1">
      <c r="A672" s="19"/>
      <c r="B672" s="19"/>
      <c r="C672" s="19"/>
      <c r="D672" s="19"/>
      <c r="E672" s="19"/>
      <c r="F672" s="19"/>
    </row>
    <row r="673" ht="12.0" customHeight="1">
      <c r="A673" s="19"/>
      <c r="B673" s="19"/>
      <c r="C673" s="19"/>
      <c r="D673" s="19"/>
      <c r="E673" s="19"/>
      <c r="F673" s="19"/>
    </row>
    <row r="674" ht="12.0" customHeight="1">
      <c r="A674" s="19"/>
      <c r="B674" s="19"/>
      <c r="C674" s="19"/>
      <c r="D674" s="19"/>
      <c r="E674" s="19"/>
      <c r="F674" s="19"/>
    </row>
    <row r="675" ht="12.0" customHeight="1">
      <c r="A675" s="19"/>
      <c r="B675" s="19"/>
      <c r="C675" s="19"/>
      <c r="D675" s="19"/>
      <c r="E675" s="19"/>
      <c r="F675" s="19"/>
    </row>
    <row r="676" ht="12.0" customHeight="1">
      <c r="A676" s="19"/>
      <c r="B676" s="19"/>
      <c r="C676" s="19"/>
      <c r="D676" s="19"/>
      <c r="E676" s="19"/>
      <c r="F676" s="19"/>
    </row>
    <row r="677" ht="12.0" customHeight="1">
      <c r="A677" s="19"/>
      <c r="B677" s="19"/>
      <c r="C677" s="19"/>
      <c r="D677" s="19"/>
      <c r="E677" s="19"/>
      <c r="F677" s="19"/>
    </row>
    <row r="678" ht="12.0" customHeight="1">
      <c r="A678" s="19"/>
      <c r="B678" s="19"/>
      <c r="C678" s="19"/>
      <c r="D678" s="19"/>
      <c r="E678" s="19"/>
      <c r="F678" s="19"/>
    </row>
    <row r="679" ht="12.0" customHeight="1">
      <c r="A679" s="19"/>
      <c r="B679" s="19"/>
      <c r="C679" s="19"/>
      <c r="D679" s="19"/>
      <c r="E679" s="19"/>
      <c r="F679" s="19"/>
    </row>
    <row r="680" ht="12.0" customHeight="1">
      <c r="A680" s="19"/>
      <c r="B680" s="19"/>
      <c r="C680" s="19"/>
      <c r="D680" s="19"/>
      <c r="E680" s="19"/>
      <c r="F680" s="19"/>
    </row>
    <row r="681" ht="12.0" customHeight="1">
      <c r="A681" s="19"/>
      <c r="B681" s="19"/>
      <c r="C681" s="19"/>
      <c r="D681" s="19"/>
      <c r="E681" s="19"/>
      <c r="F681" s="19"/>
    </row>
    <row r="682" ht="12.0" customHeight="1">
      <c r="A682" s="19"/>
      <c r="B682" s="19"/>
      <c r="C682" s="19"/>
      <c r="D682" s="19"/>
      <c r="E682" s="19"/>
      <c r="F682" s="19"/>
    </row>
    <row r="683" ht="12.0" customHeight="1">
      <c r="A683" s="19"/>
      <c r="B683" s="19"/>
      <c r="C683" s="19"/>
      <c r="D683" s="19"/>
      <c r="E683" s="19"/>
      <c r="F683" s="19"/>
    </row>
    <row r="684" ht="12.0" customHeight="1">
      <c r="A684" s="19"/>
      <c r="B684" s="19"/>
      <c r="C684" s="19"/>
      <c r="D684" s="19"/>
      <c r="E684" s="19"/>
      <c r="F684" s="19"/>
    </row>
    <row r="685" ht="12.0" customHeight="1">
      <c r="A685" s="19"/>
      <c r="B685" s="19"/>
      <c r="C685" s="19"/>
      <c r="D685" s="19"/>
      <c r="E685" s="19"/>
      <c r="F685" s="19"/>
    </row>
    <row r="686" ht="12.0" customHeight="1">
      <c r="A686" s="19"/>
      <c r="B686" s="19"/>
      <c r="C686" s="19"/>
      <c r="D686" s="19"/>
      <c r="E686" s="19"/>
      <c r="F686" s="19"/>
    </row>
    <row r="687" ht="12.0" customHeight="1">
      <c r="A687" s="19"/>
      <c r="B687" s="19"/>
      <c r="C687" s="19"/>
      <c r="D687" s="19"/>
      <c r="E687" s="19"/>
      <c r="F687" s="19"/>
    </row>
    <row r="688" ht="12.0" customHeight="1">
      <c r="A688" s="19"/>
      <c r="B688" s="19"/>
      <c r="C688" s="19"/>
      <c r="D688" s="19"/>
      <c r="E688" s="19"/>
      <c r="F688" s="19"/>
    </row>
    <row r="689" ht="12.0" customHeight="1">
      <c r="A689" s="19"/>
      <c r="B689" s="19"/>
      <c r="C689" s="19"/>
      <c r="D689" s="19"/>
      <c r="E689" s="19"/>
      <c r="F689" s="19"/>
    </row>
    <row r="690" ht="12.0" customHeight="1">
      <c r="A690" s="19"/>
      <c r="B690" s="19"/>
      <c r="C690" s="19"/>
      <c r="D690" s="19"/>
      <c r="E690" s="19"/>
      <c r="F690" s="19"/>
    </row>
    <row r="691" ht="12.0" customHeight="1">
      <c r="A691" s="19"/>
      <c r="B691" s="19"/>
      <c r="C691" s="19"/>
      <c r="D691" s="19"/>
      <c r="E691" s="19"/>
      <c r="F691" s="19"/>
    </row>
    <row r="692" ht="12.0" customHeight="1">
      <c r="A692" s="19"/>
      <c r="B692" s="19"/>
      <c r="C692" s="19"/>
      <c r="D692" s="19"/>
      <c r="E692" s="19"/>
      <c r="F692" s="19"/>
    </row>
    <row r="693" ht="12.0" customHeight="1">
      <c r="A693" s="19"/>
      <c r="B693" s="19"/>
      <c r="C693" s="19"/>
      <c r="D693" s="19"/>
      <c r="E693" s="19"/>
      <c r="F693" s="19"/>
    </row>
    <row r="694" ht="12.0" customHeight="1">
      <c r="A694" s="19"/>
      <c r="B694" s="19"/>
      <c r="C694" s="19"/>
      <c r="D694" s="19"/>
      <c r="E694" s="19"/>
      <c r="F694" s="19"/>
    </row>
    <row r="695" ht="12.0" customHeight="1">
      <c r="A695" s="19"/>
      <c r="B695" s="19"/>
      <c r="C695" s="19"/>
      <c r="D695" s="19"/>
      <c r="E695" s="19"/>
      <c r="F695" s="19"/>
    </row>
    <row r="696" ht="12.0" customHeight="1">
      <c r="A696" s="19"/>
      <c r="B696" s="19"/>
      <c r="C696" s="19"/>
      <c r="D696" s="19"/>
      <c r="E696" s="19"/>
      <c r="F696" s="19"/>
    </row>
    <row r="697" ht="12.0" customHeight="1">
      <c r="A697" s="19"/>
      <c r="B697" s="19"/>
      <c r="C697" s="19"/>
      <c r="D697" s="19"/>
      <c r="E697" s="19"/>
      <c r="F697" s="19"/>
    </row>
    <row r="698" ht="12.0" customHeight="1">
      <c r="A698" s="19"/>
      <c r="B698" s="19"/>
      <c r="C698" s="19"/>
      <c r="D698" s="19"/>
      <c r="E698" s="19"/>
      <c r="F698" s="19"/>
    </row>
    <row r="699" ht="12.0" customHeight="1">
      <c r="A699" s="19"/>
      <c r="B699" s="19"/>
      <c r="C699" s="19"/>
      <c r="D699" s="19"/>
      <c r="E699" s="19"/>
      <c r="F699" s="19"/>
    </row>
    <row r="700" ht="12.0" customHeight="1">
      <c r="A700" s="19"/>
      <c r="B700" s="19"/>
      <c r="C700" s="19"/>
      <c r="D700" s="19"/>
      <c r="E700" s="19"/>
      <c r="F700" s="19"/>
    </row>
    <row r="701" ht="12.0" customHeight="1">
      <c r="A701" s="19"/>
      <c r="B701" s="19"/>
      <c r="C701" s="19"/>
      <c r="D701" s="19"/>
      <c r="E701" s="19"/>
      <c r="F701" s="19"/>
    </row>
    <row r="702" ht="12.0" customHeight="1">
      <c r="A702" s="19"/>
      <c r="B702" s="19"/>
      <c r="C702" s="19"/>
      <c r="D702" s="19"/>
      <c r="E702" s="19"/>
      <c r="F702" s="19"/>
    </row>
    <row r="703" ht="12.0" customHeight="1">
      <c r="A703" s="19"/>
      <c r="B703" s="19"/>
      <c r="C703" s="19"/>
      <c r="D703" s="19"/>
      <c r="E703" s="19"/>
      <c r="F703" s="19"/>
    </row>
    <row r="704" ht="12.0" customHeight="1">
      <c r="A704" s="19"/>
      <c r="B704" s="19"/>
      <c r="C704" s="19"/>
      <c r="D704" s="19"/>
      <c r="E704" s="19"/>
      <c r="F704" s="19"/>
    </row>
    <row r="705" ht="12.0" customHeight="1">
      <c r="A705" s="19"/>
      <c r="B705" s="19"/>
      <c r="C705" s="19"/>
      <c r="D705" s="19"/>
      <c r="E705" s="19"/>
      <c r="F705" s="19"/>
    </row>
    <row r="706" ht="12.0" customHeight="1">
      <c r="A706" s="19"/>
      <c r="B706" s="19"/>
      <c r="C706" s="19"/>
      <c r="D706" s="19"/>
      <c r="E706" s="19"/>
      <c r="F706" s="19"/>
    </row>
    <row r="707" ht="12.0" customHeight="1">
      <c r="A707" s="19"/>
      <c r="B707" s="19"/>
      <c r="C707" s="19"/>
      <c r="D707" s="19"/>
      <c r="E707" s="19"/>
      <c r="F707" s="19"/>
    </row>
    <row r="708" ht="12.0" customHeight="1">
      <c r="A708" s="19"/>
      <c r="B708" s="19"/>
      <c r="C708" s="19"/>
      <c r="D708" s="19"/>
      <c r="E708" s="19"/>
      <c r="F708" s="19"/>
    </row>
    <row r="709" ht="12.0" customHeight="1">
      <c r="A709" s="19"/>
      <c r="B709" s="19"/>
      <c r="C709" s="19"/>
      <c r="D709" s="19"/>
      <c r="E709" s="19"/>
      <c r="F709" s="19"/>
    </row>
    <row r="710" ht="12.0" customHeight="1">
      <c r="A710" s="19"/>
      <c r="B710" s="19"/>
      <c r="C710" s="19"/>
      <c r="D710" s="19"/>
      <c r="E710" s="19"/>
      <c r="F710" s="19"/>
    </row>
    <row r="711" ht="12.0" customHeight="1">
      <c r="A711" s="19"/>
      <c r="B711" s="19"/>
      <c r="C711" s="19"/>
      <c r="D711" s="19"/>
      <c r="E711" s="19"/>
      <c r="F711" s="19"/>
    </row>
    <row r="712" ht="12.0" customHeight="1">
      <c r="A712" s="19"/>
      <c r="B712" s="19"/>
      <c r="C712" s="19"/>
      <c r="D712" s="19"/>
      <c r="E712" s="19"/>
      <c r="F712" s="19"/>
    </row>
    <row r="713" ht="12.0" customHeight="1">
      <c r="A713" s="19"/>
      <c r="B713" s="19"/>
      <c r="C713" s="19"/>
      <c r="D713" s="19"/>
      <c r="E713" s="19"/>
      <c r="F713" s="19"/>
    </row>
    <row r="714" ht="12.0" customHeight="1">
      <c r="A714" s="19"/>
      <c r="B714" s="19"/>
      <c r="C714" s="19"/>
      <c r="D714" s="19"/>
      <c r="E714" s="19"/>
      <c r="F714" s="19"/>
    </row>
    <row r="715" ht="12.0" customHeight="1">
      <c r="A715" s="19"/>
      <c r="B715" s="19"/>
      <c r="C715" s="19"/>
      <c r="D715" s="19"/>
      <c r="E715" s="19"/>
      <c r="F715" s="19"/>
    </row>
    <row r="716" ht="12.0" customHeight="1">
      <c r="A716" s="19"/>
      <c r="B716" s="19"/>
      <c r="C716" s="19"/>
      <c r="D716" s="19"/>
      <c r="E716" s="19"/>
      <c r="F716" s="19"/>
    </row>
    <row r="717" ht="12.0" customHeight="1">
      <c r="A717" s="19"/>
      <c r="B717" s="19"/>
      <c r="C717" s="19"/>
      <c r="D717" s="19"/>
      <c r="E717" s="19"/>
      <c r="F717" s="19"/>
    </row>
    <row r="718" ht="12.0" customHeight="1">
      <c r="A718" s="19"/>
      <c r="B718" s="19"/>
      <c r="C718" s="19"/>
      <c r="D718" s="19"/>
      <c r="E718" s="19"/>
      <c r="F718" s="19"/>
    </row>
    <row r="719" ht="12.0" customHeight="1">
      <c r="A719" s="19"/>
      <c r="B719" s="19"/>
      <c r="C719" s="19"/>
      <c r="D719" s="19"/>
      <c r="E719" s="19"/>
      <c r="F719" s="19"/>
    </row>
    <row r="720" ht="12.0" customHeight="1">
      <c r="A720" s="19"/>
      <c r="B720" s="19"/>
      <c r="C720" s="19"/>
      <c r="D720" s="19"/>
      <c r="E720" s="19"/>
      <c r="F720" s="19"/>
    </row>
    <row r="721" ht="12.0" customHeight="1">
      <c r="A721" s="19"/>
      <c r="B721" s="19"/>
      <c r="C721" s="19"/>
      <c r="D721" s="19"/>
      <c r="E721" s="19"/>
      <c r="F721" s="19"/>
    </row>
    <row r="722" ht="12.0" customHeight="1">
      <c r="A722" s="19"/>
      <c r="B722" s="19"/>
      <c r="C722" s="19"/>
      <c r="D722" s="19"/>
      <c r="E722" s="19"/>
      <c r="F722" s="19"/>
    </row>
    <row r="723" ht="12.0" customHeight="1">
      <c r="A723" s="19"/>
      <c r="B723" s="19"/>
      <c r="C723" s="19"/>
      <c r="D723" s="19"/>
      <c r="E723" s="19"/>
      <c r="F723" s="19"/>
    </row>
    <row r="724" ht="12.0" customHeight="1">
      <c r="A724" s="19"/>
      <c r="B724" s="19"/>
      <c r="C724" s="19"/>
      <c r="D724" s="19"/>
      <c r="E724" s="19"/>
      <c r="F724" s="19"/>
    </row>
    <row r="725" ht="12.0" customHeight="1">
      <c r="A725" s="19"/>
      <c r="B725" s="19"/>
      <c r="C725" s="19"/>
      <c r="D725" s="19"/>
      <c r="E725" s="19"/>
      <c r="F725" s="19"/>
    </row>
    <row r="726" ht="12.0" customHeight="1">
      <c r="A726" s="19"/>
      <c r="B726" s="19"/>
      <c r="C726" s="19"/>
      <c r="D726" s="19"/>
      <c r="E726" s="19"/>
      <c r="F726" s="19"/>
    </row>
    <row r="727" ht="12.0" customHeight="1">
      <c r="A727" s="19"/>
      <c r="B727" s="19"/>
      <c r="C727" s="19"/>
      <c r="D727" s="19"/>
      <c r="E727" s="19"/>
      <c r="F727" s="19"/>
    </row>
    <row r="728" ht="12.0" customHeight="1">
      <c r="A728" s="19"/>
      <c r="B728" s="19"/>
      <c r="C728" s="19"/>
      <c r="D728" s="19"/>
      <c r="E728" s="19"/>
      <c r="F728" s="19"/>
    </row>
    <row r="729" ht="12.0" customHeight="1">
      <c r="A729" s="19"/>
      <c r="B729" s="19"/>
      <c r="C729" s="19"/>
      <c r="D729" s="19"/>
      <c r="E729" s="19"/>
      <c r="F729" s="19"/>
    </row>
    <row r="730" ht="12.0" customHeight="1">
      <c r="A730" s="19"/>
      <c r="B730" s="19"/>
      <c r="C730" s="19"/>
      <c r="D730" s="19"/>
      <c r="E730" s="19"/>
      <c r="F730" s="19"/>
    </row>
    <row r="731" ht="12.0" customHeight="1">
      <c r="A731" s="19"/>
      <c r="B731" s="19"/>
      <c r="C731" s="19"/>
      <c r="D731" s="19"/>
      <c r="E731" s="19"/>
      <c r="F731" s="19"/>
    </row>
    <row r="732" ht="12.0" customHeight="1">
      <c r="A732" s="19"/>
      <c r="B732" s="19"/>
      <c r="C732" s="19"/>
      <c r="D732" s="19"/>
      <c r="E732" s="19"/>
      <c r="F732" s="19"/>
    </row>
    <row r="733" ht="12.0" customHeight="1">
      <c r="A733" s="19"/>
      <c r="B733" s="19"/>
      <c r="C733" s="19"/>
      <c r="D733" s="19"/>
      <c r="E733" s="19"/>
      <c r="F733" s="19"/>
    </row>
    <row r="734" ht="12.0" customHeight="1">
      <c r="A734" s="19"/>
      <c r="B734" s="19"/>
      <c r="C734" s="19"/>
      <c r="D734" s="19"/>
      <c r="E734" s="19"/>
      <c r="F734" s="19"/>
    </row>
    <row r="735" ht="12.0" customHeight="1">
      <c r="A735" s="19"/>
      <c r="B735" s="19"/>
      <c r="C735" s="19"/>
      <c r="D735" s="19"/>
      <c r="E735" s="19"/>
      <c r="F735" s="19"/>
    </row>
    <row r="736" ht="12.0" customHeight="1">
      <c r="A736" s="19"/>
      <c r="B736" s="19"/>
      <c r="C736" s="19"/>
      <c r="D736" s="19"/>
      <c r="E736" s="19"/>
      <c r="F736" s="19"/>
    </row>
    <row r="737" ht="12.0" customHeight="1">
      <c r="A737" s="19"/>
      <c r="B737" s="19"/>
      <c r="C737" s="19"/>
      <c r="D737" s="19"/>
      <c r="E737" s="19"/>
      <c r="F737" s="19"/>
    </row>
    <row r="738" ht="12.0" customHeight="1">
      <c r="A738" s="19"/>
      <c r="B738" s="19"/>
      <c r="C738" s="19"/>
      <c r="D738" s="19"/>
      <c r="E738" s="19"/>
      <c r="F738" s="19"/>
    </row>
    <row r="739" ht="12.0" customHeight="1">
      <c r="A739" s="19"/>
      <c r="B739" s="19"/>
      <c r="C739" s="19"/>
      <c r="D739" s="19"/>
      <c r="E739" s="19"/>
      <c r="F739" s="19"/>
    </row>
    <row r="740" ht="12.0" customHeight="1">
      <c r="A740" s="19"/>
      <c r="B740" s="19"/>
      <c r="C740" s="19"/>
      <c r="D740" s="19"/>
      <c r="E740" s="19"/>
      <c r="F740" s="19"/>
    </row>
    <row r="741" ht="12.0" customHeight="1">
      <c r="A741" s="19"/>
      <c r="B741" s="19"/>
      <c r="C741" s="19"/>
      <c r="D741" s="19"/>
      <c r="E741" s="19"/>
      <c r="F741" s="19"/>
    </row>
    <row r="742" ht="12.0" customHeight="1">
      <c r="A742" s="19"/>
      <c r="B742" s="19"/>
      <c r="C742" s="19"/>
      <c r="D742" s="19"/>
      <c r="E742" s="19"/>
      <c r="F742" s="19"/>
    </row>
    <row r="743" ht="12.0" customHeight="1">
      <c r="A743" s="19"/>
      <c r="B743" s="19"/>
      <c r="C743" s="19"/>
      <c r="D743" s="19"/>
      <c r="E743" s="19"/>
      <c r="F743" s="19"/>
    </row>
    <row r="744" ht="12.0" customHeight="1">
      <c r="A744" s="19"/>
      <c r="B744" s="19"/>
      <c r="C744" s="19"/>
      <c r="D744" s="19"/>
      <c r="E744" s="19"/>
      <c r="F744" s="19"/>
    </row>
    <row r="745" ht="12.0" customHeight="1">
      <c r="A745" s="19"/>
      <c r="B745" s="19"/>
      <c r="C745" s="19"/>
      <c r="D745" s="19"/>
      <c r="E745" s="19"/>
      <c r="F745" s="19"/>
    </row>
    <row r="746" ht="12.0" customHeight="1">
      <c r="A746" s="19"/>
      <c r="B746" s="19"/>
      <c r="C746" s="19"/>
      <c r="D746" s="19"/>
      <c r="E746" s="19"/>
      <c r="F746" s="19"/>
    </row>
    <row r="747" ht="12.0" customHeight="1">
      <c r="A747" s="19"/>
      <c r="B747" s="19"/>
      <c r="C747" s="19"/>
      <c r="D747" s="19"/>
      <c r="E747" s="19"/>
      <c r="F747" s="19"/>
    </row>
    <row r="748" ht="12.0" customHeight="1">
      <c r="A748" s="19"/>
      <c r="B748" s="19"/>
      <c r="C748" s="19"/>
      <c r="D748" s="19"/>
      <c r="E748" s="19"/>
      <c r="F748" s="19"/>
    </row>
    <row r="749" ht="12.0" customHeight="1">
      <c r="A749" s="19"/>
      <c r="B749" s="19"/>
      <c r="C749" s="19"/>
      <c r="D749" s="19"/>
      <c r="E749" s="19"/>
      <c r="F749" s="19"/>
    </row>
    <row r="750" ht="12.0" customHeight="1">
      <c r="A750" s="19"/>
      <c r="B750" s="19"/>
      <c r="C750" s="19"/>
      <c r="D750" s="19"/>
      <c r="E750" s="19"/>
      <c r="F750" s="19"/>
    </row>
    <row r="751" ht="12.0" customHeight="1">
      <c r="A751" s="19"/>
      <c r="B751" s="19"/>
      <c r="C751" s="19"/>
      <c r="D751" s="19"/>
      <c r="E751" s="19"/>
      <c r="F751" s="19"/>
    </row>
    <row r="752" ht="12.0" customHeight="1">
      <c r="A752" s="19"/>
      <c r="B752" s="19"/>
      <c r="C752" s="19"/>
      <c r="D752" s="19"/>
      <c r="E752" s="19"/>
      <c r="F752" s="19"/>
    </row>
    <row r="753" ht="12.0" customHeight="1">
      <c r="A753" s="19"/>
      <c r="B753" s="19"/>
      <c r="C753" s="19"/>
      <c r="D753" s="19"/>
      <c r="E753" s="19"/>
      <c r="F753" s="19"/>
    </row>
    <row r="754" ht="12.0" customHeight="1">
      <c r="A754" s="19"/>
      <c r="B754" s="19"/>
      <c r="C754" s="19"/>
      <c r="D754" s="19"/>
      <c r="E754" s="19"/>
      <c r="F754" s="19"/>
    </row>
    <row r="755" ht="12.0" customHeight="1">
      <c r="A755" s="19"/>
      <c r="B755" s="19"/>
      <c r="C755" s="19"/>
      <c r="D755" s="19"/>
      <c r="E755" s="19"/>
      <c r="F755" s="19"/>
    </row>
    <row r="756" ht="12.0" customHeight="1">
      <c r="A756" s="19"/>
      <c r="B756" s="19"/>
      <c r="C756" s="19"/>
      <c r="D756" s="19"/>
      <c r="E756" s="19"/>
      <c r="F756" s="19"/>
    </row>
    <row r="757" ht="12.0" customHeight="1">
      <c r="A757" s="19"/>
      <c r="B757" s="19"/>
      <c r="C757" s="19"/>
      <c r="D757" s="19"/>
      <c r="E757" s="19"/>
      <c r="F757" s="19"/>
    </row>
    <row r="758" ht="12.0" customHeight="1">
      <c r="A758" s="19"/>
      <c r="B758" s="19"/>
      <c r="C758" s="19"/>
      <c r="D758" s="19"/>
      <c r="E758" s="19"/>
      <c r="F758" s="19"/>
    </row>
    <row r="759" ht="12.0" customHeight="1">
      <c r="A759" s="19"/>
      <c r="B759" s="19"/>
      <c r="C759" s="19"/>
      <c r="D759" s="19"/>
      <c r="E759" s="19"/>
      <c r="F759" s="19"/>
    </row>
    <row r="760" ht="12.0" customHeight="1">
      <c r="A760" s="19"/>
      <c r="B760" s="19"/>
      <c r="C760" s="19"/>
      <c r="D760" s="19"/>
      <c r="E760" s="19"/>
      <c r="F760" s="19"/>
    </row>
    <row r="761" ht="12.0" customHeight="1">
      <c r="A761" s="19"/>
      <c r="B761" s="19"/>
      <c r="C761" s="19"/>
      <c r="D761" s="19"/>
      <c r="E761" s="19"/>
      <c r="F761" s="19"/>
    </row>
    <row r="762" ht="12.0" customHeight="1">
      <c r="A762" s="19"/>
      <c r="B762" s="19"/>
      <c r="C762" s="19"/>
      <c r="D762" s="19"/>
      <c r="E762" s="19"/>
      <c r="F762" s="19"/>
    </row>
    <row r="763" ht="12.0" customHeight="1">
      <c r="A763" s="19"/>
      <c r="B763" s="19"/>
      <c r="C763" s="19"/>
      <c r="D763" s="19"/>
      <c r="E763" s="19"/>
      <c r="F763" s="19"/>
    </row>
    <row r="764" ht="12.0" customHeight="1">
      <c r="A764" s="19"/>
      <c r="B764" s="19"/>
      <c r="C764" s="19"/>
      <c r="D764" s="19"/>
      <c r="E764" s="19"/>
      <c r="F764" s="19"/>
    </row>
    <row r="765" ht="12.0" customHeight="1">
      <c r="A765" s="19"/>
      <c r="B765" s="19"/>
      <c r="C765" s="19"/>
      <c r="D765" s="19"/>
      <c r="E765" s="19"/>
      <c r="F765" s="19"/>
    </row>
    <row r="766" ht="12.0" customHeight="1">
      <c r="A766" s="19"/>
      <c r="B766" s="19"/>
      <c r="C766" s="19"/>
      <c r="D766" s="19"/>
      <c r="E766" s="19"/>
      <c r="F766" s="19"/>
    </row>
    <row r="767" ht="12.0" customHeight="1">
      <c r="A767" s="19"/>
      <c r="B767" s="19"/>
      <c r="C767" s="19"/>
      <c r="D767" s="19"/>
      <c r="E767" s="19"/>
      <c r="F767" s="19"/>
    </row>
    <row r="768" ht="12.0" customHeight="1">
      <c r="A768" s="19"/>
      <c r="B768" s="19"/>
      <c r="C768" s="19"/>
      <c r="D768" s="19"/>
      <c r="E768" s="19"/>
      <c r="F768" s="19"/>
    </row>
    <row r="769" ht="12.0" customHeight="1">
      <c r="A769" s="19"/>
      <c r="B769" s="19"/>
      <c r="C769" s="19"/>
      <c r="D769" s="19"/>
      <c r="E769" s="19"/>
      <c r="F769" s="19"/>
    </row>
    <row r="770" ht="12.0" customHeight="1">
      <c r="A770" s="19"/>
      <c r="B770" s="19"/>
      <c r="C770" s="19"/>
      <c r="D770" s="19"/>
      <c r="E770" s="19"/>
      <c r="F770" s="19"/>
    </row>
    <row r="771" ht="12.0" customHeight="1">
      <c r="A771" s="19"/>
      <c r="B771" s="19"/>
      <c r="C771" s="19"/>
      <c r="D771" s="19"/>
      <c r="E771" s="19"/>
      <c r="F771" s="19"/>
    </row>
    <row r="772" ht="12.0" customHeight="1">
      <c r="A772" s="19"/>
      <c r="B772" s="19"/>
      <c r="C772" s="19"/>
      <c r="D772" s="19"/>
      <c r="E772" s="19"/>
      <c r="F772" s="19"/>
    </row>
    <row r="773" ht="12.0" customHeight="1">
      <c r="A773" s="19"/>
      <c r="B773" s="19"/>
      <c r="C773" s="19"/>
      <c r="D773" s="19"/>
      <c r="E773" s="19"/>
      <c r="F773" s="19"/>
    </row>
    <row r="774" ht="12.0" customHeight="1">
      <c r="A774" s="19"/>
      <c r="B774" s="19"/>
      <c r="C774" s="19"/>
      <c r="D774" s="19"/>
      <c r="E774" s="19"/>
      <c r="F774" s="19"/>
    </row>
    <row r="775" ht="12.0" customHeight="1">
      <c r="A775" s="19"/>
      <c r="B775" s="19"/>
      <c r="C775" s="19"/>
      <c r="D775" s="19"/>
      <c r="E775" s="19"/>
      <c r="F775" s="19"/>
    </row>
    <row r="776" ht="12.0" customHeight="1">
      <c r="A776" s="19"/>
      <c r="B776" s="19"/>
      <c r="C776" s="19"/>
      <c r="D776" s="19"/>
      <c r="E776" s="19"/>
      <c r="F776" s="19"/>
    </row>
    <row r="777" ht="12.0" customHeight="1">
      <c r="A777" s="19"/>
      <c r="B777" s="19"/>
      <c r="C777" s="19"/>
      <c r="D777" s="19"/>
      <c r="E777" s="19"/>
      <c r="F777" s="19"/>
    </row>
    <row r="778" ht="12.0" customHeight="1">
      <c r="A778" s="19"/>
      <c r="B778" s="19"/>
      <c r="C778" s="19"/>
      <c r="D778" s="19"/>
      <c r="E778" s="19"/>
      <c r="F778" s="19"/>
    </row>
    <row r="779" ht="12.0" customHeight="1">
      <c r="A779" s="19"/>
      <c r="B779" s="19"/>
      <c r="C779" s="19"/>
      <c r="D779" s="19"/>
      <c r="E779" s="19"/>
      <c r="F779" s="19"/>
    </row>
    <row r="780" ht="12.0" customHeight="1">
      <c r="A780" s="19"/>
      <c r="B780" s="19"/>
      <c r="C780" s="19"/>
      <c r="D780" s="19"/>
      <c r="E780" s="19"/>
      <c r="F780" s="19"/>
    </row>
    <row r="781" ht="12.0" customHeight="1">
      <c r="A781" s="19"/>
      <c r="B781" s="19"/>
      <c r="C781" s="19"/>
      <c r="D781" s="19"/>
      <c r="E781" s="19"/>
      <c r="F781" s="19"/>
    </row>
    <row r="782" ht="12.0" customHeight="1">
      <c r="A782" s="19"/>
      <c r="B782" s="19"/>
      <c r="C782" s="19"/>
      <c r="D782" s="19"/>
      <c r="E782" s="19"/>
      <c r="F782" s="19"/>
    </row>
    <row r="783" ht="12.0" customHeight="1">
      <c r="A783" s="19"/>
      <c r="B783" s="19"/>
      <c r="C783" s="19"/>
      <c r="D783" s="19"/>
      <c r="E783" s="19"/>
      <c r="F783" s="19"/>
    </row>
    <row r="784" ht="12.0" customHeight="1">
      <c r="A784" s="19"/>
      <c r="B784" s="19"/>
      <c r="C784" s="19"/>
      <c r="D784" s="19"/>
      <c r="E784" s="19"/>
      <c r="F784" s="19"/>
    </row>
    <row r="785" ht="12.0" customHeight="1">
      <c r="A785" s="19"/>
      <c r="B785" s="19"/>
      <c r="C785" s="19"/>
      <c r="D785" s="19"/>
      <c r="E785" s="19"/>
      <c r="F785" s="19"/>
    </row>
    <row r="786" ht="12.0" customHeight="1">
      <c r="A786" s="19"/>
      <c r="B786" s="19"/>
      <c r="C786" s="19"/>
      <c r="D786" s="19"/>
      <c r="E786" s="19"/>
      <c r="F786" s="19"/>
    </row>
    <row r="787" ht="12.0" customHeight="1">
      <c r="A787" s="19"/>
      <c r="B787" s="19"/>
      <c r="C787" s="19"/>
      <c r="D787" s="19"/>
      <c r="E787" s="19"/>
      <c r="F787" s="19"/>
    </row>
    <row r="788" ht="12.0" customHeight="1">
      <c r="A788" s="19"/>
      <c r="B788" s="19"/>
      <c r="C788" s="19"/>
      <c r="D788" s="19"/>
      <c r="E788" s="19"/>
      <c r="F788" s="19"/>
    </row>
    <row r="789" ht="12.0" customHeight="1">
      <c r="A789" s="19"/>
      <c r="B789" s="19"/>
      <c r="C789" s="19"/>
      <c r="D789" s="19"/>
      <c r="E789" s="19"/>
      <c r="F789" s="19"/>
    </row>
    <row r="790" ht="12.0" customHeight="1">
      <c r="A790" s="19"/>
      <c r="B790" s="19"/>
      <c r="C790" s="19"/>
      <c r="D790" s="19"/>
      <c r="E790" s="19"/>
      <c r="F790" s="19"/>
    </row>
    <row r="791" ht="12.0" customHeight="1">
      <c r="A791" s="19"/>
      <c r="B791" s="19"/>
      <c r="C791" s="19"/>
      <c r="D791" s="19"/>
      <c r="E791" s="19"/>
      <c r="F791" s="19"/>
    </row>
    <row r="792" ht="12.0" customHeight="1">
      <c r="A792" s="19"/>
      <c r="B792" s="19"/>
      <c r="C792" s="19"/>
      <c r="D792" s="19"/>
      <c r="E792" s="19"/>
      <c r="F792" s="19"/>
    </row>
    <row r="793" ht="12.0" customHeight="1">
      <c r="A793" s="19"/>
      <c r="B793" s="19"/>
      <c r="C793" s="19"/>
      <c r="D793" s="19"/>
      <c r="E793" s="19"/>
      <c r="F793" s="19"/>
    </row>
    <row r="794" ht="12.0" customHeight="1">
      <c r="A794" s="19"/>
      <c r="B794" s="19"/>
      <c r="C794" s="19"/>
      <c r="D794" s="19"/>
      <c r="E794" s="19"/>
      <c r="F794" s="19"/>
    </row>
    <row r="795" ht="12.0" customHeight="1">
      <c r="A795" s="19"/>
      <c r="B795" s="19"/>
      <c r="C795" s="19"/>
      <c r="D795" s="19"/>
      <c r="E795" s="19"/>
      <c r="F795" s="19"/>
    </row>
    <row r="796" ht="12.0" customHeight="1">
      <c r="A796" s="19"/>
      <c r="B796" s="19"/>
      <c r="C796" s="19"/>
      <c r="D796" s="19"/>
      <c r="E796" s="19"/>
      <c r="F796" s="19"/>
    </row>
    <row r="797" ht="12.0" customHeight="1">
      <c r="A797" s="19"/>
      <c r="B797" s="19"/>
      <c r="C797" s="19"/>
      <c r="D797" s="19"/>
      <c r="E797" s="19"/>
      <c r="F797" s="19"/>
    </row>
    <row r="798" ht="12.0" customHeight="1">
      <c r="A798" s="19"/>
      <c r="B798" s="19"/>
      <c r="C798" s="19"/>
      <c r="D798" s="19"/>
      <c r="E798" s="19"/>
      <c r="F798" s="19"/>
    </row>
    <row r="799" ht="12.0" customHeight="1">
      <c r="A799" s="19"/>
      <c r="B799" s="19"/>
      <c r="C799" s="19"/>
      <c r="D799" s="19"/>
      <c r="E799" s="19"/>
      <c r="F799" s="19"/>
    </row>
    <row r="800" ht="12.0" customHeight="1">
      <c r="A800" s="19"/>
      <c r="B800" s="19"/>
      <c r="C800" s="19"/>
      <c r="D800" s="19"/>
      <c r="E800" s="19"/>
      <c r="F800" s="19"/>
    </row>
    <row r="801" ht="12.0" customHeight="1">
      <c r="A801" s="19"/>
      <c r="B801" s="19"/>
      <c r="C801" s="19"/>
      <c r="D801" s="19"/>
      <c r="E801" s="19"/>
      <c r="F801" s="19"/>
    </row>
    <row r="802" ht="12.0" customHeight="1">
      <c r="A802" s="19"/>
      <c r="B802" s="19"/>
      <c r="C802" s="19"/>
      <c r="D802" s="19"/>
      <c r="E802" s="19"/>
      <c r="F802" s="19"/>
    </row>
    <row r="803" ht="12.0" customHeight="1">
      <c r="A803" s="19"/>
      <c r="B803" s="19"/>
      <c r="C803" s="19"/>
      <c r="D803" s="19"/>
      <c r="E803" s="19"/>
      <c r="F803" s="19"/>
    </row>
    <row r="804" ht="12.0" customHeight="1">
      <c r="A804" s="19"/>
      <c r="B804" s="19"/>
      <c r="C804" s="19"/>
      <c r="D804" s="19"/>
      <c r="E804" s="19"/>
      <c r="F804" s="19"/>
    </row>
    <row r="805" ht="12.0" customHeight="1">
      <c r="A805" s="19"/>
      <c r="B805" s="19"/>
      <c r="C805" s="19"/>
      <c r="D805" s="19"/>
      <c r="E805" s="19"/>
      <c r="F805" s="19"/>
    </row>
    <row r="806" ht="12.0" customHeight="1">
      <c r="A806" s="19"/>
      <c r="B806" s="19"/>
      <c r="C806" s="19"/>
      <c r="D806" s="19"/>
      <c r="E806" s="19"/>
      <c r="F806" s="19"/>
    </row>
    <row r="807" ht="12.0" customHeight="1">
      <c r="A807" s="19"/>
      <c r="B807" s="19"/>
      <c r="C807" s="19"/>
      <c r="D807" s="19"/>
      <c r="E807" s="19"/>
      <c r="F807" s="19"/>
    </row>
    <row r="808" ht="12.0" customHeight="1">
      <c r="A808" s="19"/>
      <c r="B808" s="19"/>
      <c r="C808" s="19"/>
      <c r="D808" s="19"/>
      <c r="E808" s="19"/>
      <c r="F808" s="19"/>
    </row>
    <row r="809" ht="12.0" customHeight="1">
      <c r="A809" s="19"/>
      <c r="B809" s="19"/>
      <c r="C809" s="19"/>
      <c r="D809" s="19"/>
      <c r="E809" s="19"/>
      <c r="F809" s="19"/>
    </row>
    <row r="810" ht="12.0" customHeight="1">
      <c r="A810" s="19"/>
      <c r="B810" s="19"/>
      <c r="C810" s="19"/>
      <c r="D810" s="19"/>
      <c r="E810" s="19"/>
      <c r="F810" s="19"/>
    </row>
    <row r="811" ht="12.0" customHeight="1">
      <c r="A811" s="19"/>
      <c r="B811" s="19"/>
      <c r="C811" s="19"/>
      <c r="D811" s="19"/>
      <c r="E811" s="19"/>
      <c r="F811" s="19"/>
    </row>
    <row r="812" ht="12.0" customHeight="1">
      <c r="A812" s="19"/>
      <c r="B812" s="19"/>
      <c r="C812" s="19"/>
      <c r="D812" s="19"/>
      <c r="E812" s="19"/>
      <c r="F812" s="19"/>
    </row>
    <row r="813" ht="12.0" customHeight="1">
      <c r="A813" s="19"/>
      <c r="B813" s="19"/>
      <c r="C813" s="19"/>
      <c r="D813" s="19"/>
      <c r="E813" s="19"/>
      <c r="F813" s="19"/>
    </row>
    <row r="814" ht="12.0" customHeight="1">
      <c r="A814" s="19"/>
      <c r="B814" s="19"/>
      <c r="C814" s="19"/>
      <c r="D814" s="19"/>
      <c r="E814" s="19"/>
      <c r="F814" s="19"/>
    </row>
    <row r="815" ht="12.0" customHeight="1">
      <c r="A815" s="19"/>
      <c r="B815" s="19"/>
      <c r="C815" s="19"/>
      <c r="D815" s="19"/>
      <c r="E815" s="19"/>
      <c r="F815" s="19"/>
    </row>
    <row r="816" ht="12.0" customHeight="1">
      <c r="A816" s="19"/>
      <c r="B816" s="19"/>
      <c r="C816" s="19"/>
      <c r="D816" s="19"/>
      <c r="E816" s="19"/>
      <c r="F816" s="19"/>
    </row>
    <row r="817" ht="12.0" customHeight="1">
      <c r="A817" s="19"/>
      <c r="B817" s="19"/>
      <c r="C817" s="19"/>
      <c r="D817" s="19"/>
      <c r="E817" s="19"/>
      <c r="F817" s="19"/>
    </row>
    <row r="818" ht="12.0" customHeight="1">
      <c r="A818" s="19"/>
      <c r="B818" s="19"/>
      <c r="C818" s="19"/>
      <c r="D818" s="19"/>
      <c r="E818" s="19"/>
      <c r="F818" s="19"/>
    </row>
    <row r="819" ht="12.0" customHeight="1">
      <c r="A819" s="19"/>
      <c r="B819" s="19"/>
      <c r="C819" s="19"/>
      <c r="D819" s="19"/>
      <c r="E819" s="19"/>
      <c r="F819" s="19"/>
    </row>
    <row r="820" ht="12.0" customHeight="1">
      <c r="A820" s="19"/>
      <c r="B820" s="19"/>
      <c r="C820" s="19"/>
      <c r="D820" s="19"/>
      <c r="E820" s="19"/>
      <c r="F820" s="19"/>
    </row>
    <row r="821" ht="12.0" customHeight="1">
      <c r="A821" s="19"/>
      <c r="B821" s="19"/>
      <c r="C821" s="19"/>
      <c r="D821" s="19"/>
      <c r="E821" s="19"/>
      <c r="F821" s="19"/>
    </row>
    <row r="822" ht="12.0" customHeight="1">
      <c r="A822" s="19"/>
      <c r="B822" s="19"/>
      <c r="C822" s="19"/>
      <c r="D822" s="19"/>
      <c r="E822" s="19"/>
      <c r="F822" s="19"/>
    </row>
    <row r="823" ht="12.0" customHeight="1">
      <c r="A823" s="19"/>
      <c r="B823" s="19"/>
      <c r="C823" s="19"/>
      <c r="D823" s="19"/>
      <c r="E823" s="19"/>
      <c r="F823" s="19"/>
    </row>
    <row r="824" ht="12.0" customHeight="1">
      <c r="A824" s="19"/>
      <c r="B824" s="19"/>
      <c r="C824" s="19"/>
      <c r="D824" s="19"/>
      <c r="E824" s="19"/>
      <c r="F824" s="19"/>
    </row>
    <row r="825" ht="12.0" customHeight="1">
      <c r="A825" s="19"/>
      <c r="B825" s="19"/>
      <c r="C825" s="19"/>
      <c r="D825" s="19"/>
      <c r="E825" s="19"/>
      <c r="F825" s="19"/>
    </row>
    <row r="826" ht="12.0" customHeight="1">
      <c r="A826" s="19"/>
      <c r="B826" s="19"/>
      <c r="C826" s="19"/>
      <c r="D826" s="19"/>
      <c r="E826" s="19"/>
      <c r="F826" s="19"/>
    </row>
    <row r="827" ht="12.0" customHeight="1">
      <c r="A827" s="19"/>
      <c r="B827" s="19"/>
      <c r="C827" s="19"/>
      <c r="D827" s="19"/>
      <c r="E827" s="19"/>
      <c r="F827" s="19"/>
    </row>
    <row r="828" ht="12.0" customHeight="1">
      <c r="A828" s="19"/>
      <c r="B828" s="19"/>
      <c r="C828" s="19"/>
      <c r="D828" s="19"/>
      <c r="E828" s="19"/>
      <c r="F828" s="19"/>
    </row>
    <row r="829" ht="12.0" customHeight="1">
      <c r="A829" s="19"/>
      <c r="B829" s="19"/>
      <c r="C829" s="19"/>
      <c r="D829" s="19"/>
      <c r="E829" s="19"/>
      <c r="F829" s="19"/>
    </row>
    <row r="830" ht="12.0" customHeight="1">
      <c r="A830" s="19"/>
      <c r="B830" s="19"/>
      <c r="C830" s="19"/>
      <c r="D830" s="19"/>
      <c r="E830" s="19"/>
      <c r="F830" s="19"/>
    </row>
    <row r="831" ht="12.0" customHeight="1">
      <c r="A831" s="19"/>
      <c r="B831" s="19"/>
      <c r="C831" s="19"/>
      <c r="D831" s="19"/>
      <c r="E831" s="19"/>
      <c r="F831" s="19"/>
    </row>
    <row r="832" ht="12.0" customHeight="1">
      <c r="A832" s="19"/>
      <c r="B832" s="19"/>
      <c r="C832" s="19"/>
      <c r="D832" s="19"/>
      <c r="E832" s="19"/>
      <c r="F832" s="19"/>
    </row>
    <row r="833" ht="12.0" customHeight="1">
      <c r="A833" s="19"/>
      <c r="B833" s="19"/>
      <c r="C833" s="19"/>
      <c r="D833" s="19"/>
      <c r="E833" s="19"/>
      <c r="F833" s="19"/>
    </row>
    <row r="834" ht="12.0" customHeight="1">
      <c r="A834" s="19"/>
      <c r="B834" s="19"/>
      <c r="C834" s="19"/>
      <c r="D834" s="19"/>
      <c r="E834" s="19"/>
      <c r="F834" s="19"/>
    </row>
    <row r="835" ht="12.0" customHeight="1">
      <c r="A835" s="19"/>
      <c r="B835" s="19"/>
      <c r="C835" s="19"/>
      <c r="D835" s="19"/>
      <c r="E835" s="19"/>
      <c r="F835" s="19"/>
    </row>
    <row r="836" ht="12.0" customHeight="1">
      <c r="A836" s="19"/>
      <c r="B836" s="19"/>
      <c r="C836" s="19"/>
      <c r="D836" s="19"/>
      <c r="E836" s="19"/>
      <c r="F836" s="19"/>
    </row>
    <row r="837" ht="12.0" customHeight="1">
      <c r="A837" s="19"/>
      <c r="B837" s="19"/>
      <c r="C837" s="19"/>
      <c r="D837" s="19"/>
      <c r="E837" s="19"/>
      <c r="F837" s="19"/>
    </row>
    <row r="838" ht="12.0" customHeight="1">
      <c r="A838" s="19"/>
      <c r="B838" s="19"/>
      <c r="C838" s="19"/>
      <c r="D838" s="19"/>
      <c r="E838" s="19"/>
      <c r="F838" s="19"/>
    </row>
    <row r="839" ht="12.0" customHeight="1">
      <c r="A839" s="19"/>
      <c r="B839" s="19"/>
      <c r="C839" s="19"/>
      <c r="D839" s="19"/>
      <c r="E839" s="19"/>
      <c r="F839" s="19"/>
    </row>
    <row r="840" ht="12.0" customHeight="1">
      <c r="A840" s="19"/>
      <c r="B840" s="19"/>
      <c r="C840" s="19"/>
      <c r="D840" s="19"/>
      <c r="E840" s="19"/>
      <c r="F840" s="19"/>
    </row>
    <row r="841" ht="12.0" customHeight="1">
      <c r="A841" s="19"/>
      <c r="B841" s="19"/>
      <c r="C841" s="19"/>
      <c r="D841" s="19"/>
      <c r="E841" s="19"/>
      <c r="F841" s="19"/>
    </row>
    <row r="842" ht="12.0" customHeight="1">
      <c r="A842" s="19"/>
      <c r="B842" s="19"/>
      <c r="C842" s="19"/>
      <c r="D842" s="19"/>
      <c r="E842" s="19"/>
      <c r="F842" s="19"/>
    </row>
    <row r="843" ht="12.0" customHeight="1">
      <c r="A843" s="19"/>
      <c r="B843" s="19"/>
      <c r="C843" s="19"/>
      <c r="D843" s="19"/>
      <c r="E843" s="19"/>
      <c r="F843" s="19"/>
    </row>
    <row r="844" ht="12.0" customHeight="1">
      <c r="A844" s="19"/>
      <c r="B844" s="19"/>
      <c r="C844" s="19"/>
      <c r="D844" s="19"/>
      <c r="E844" s="19"/>
      <c r="F844" s="19"/>
    </row>
    <row r="845" ht="12.0" customHeight="1">
      <c r="A845" s="19"/>
      <c r="B845" s="19"/>
      <c r="C845" s="19"/>
      <c r="D845" s="19"/>
      <c r="E845" s="19"/>
      <c r="F845" s="19"/>
    </row>
    <row r="846" ht="12.0" customHeight="1">
      <c r="A846" s="19"/>
      <c r="B846" s="19"/>
      <c r="C846" s="19"/>
      <c r="D846" s="19"/>
      <c r="E846" s="19"/>
      <c r="F846" s="19"/>
    </row>
    <row r="847" ht="12.0" customHeight="1">
      <c r="A847" s="19"/>
      <c r="B847" s="19"/>
      <c r="C847" s="19"/>
      <c r="D847" s="19"/>
      <c r="E847" s="19"/>
      <c r="F847" s="19"/>
    </row>
    <row r="848" ht="12.0" customHeight="1">
      <c r="A848" s="19"/>
      <c r="B848" s="19"/>
      <c r="C848" s="19"/>
      <c r="D848" s="19"/>
      <c r="E848" s="19"/>
      <c r="F848" s="19"/>
    </row>
    <row r="849" ht="12.0" customHeight="1">
      <c r="A849" s="19"/>
      <c r="B849" s="19"/>
      <c r="C849" s="19"/>
      <c r="D849" s="19"/>
      <c r="E849" s="19"/>
      <c r="F849" s="19"/>
    </row>
    <row r="850" ht="12.0" customHeight="1">
      <c r="A850" s="19"/>
      <c r="B850" s="19"/>
      <c r="C850" s="19"/>
      <c r="D850" s="19"/>
      <c r="E850" s="19"/>
      <c r="F850" s="19"/>
    </row>
    <row r="851" ht="12.0" customHeight="1">
      <c r="A851" s="19"/>
      <c r="B851" s="19"/>
      <c r="C851" s="19"/>
      <c r="D851" s="19"/>
      <c r="E851" s="19"/>
      <c r="F851" s="19"/>
    </row>
    <row r="852" ht="12.0" customHeight="1">
      <c r="A852" s="19"/>
      <c r="B852" s="19"/>
      <c r="C852" s="19"/>
      <c r="D852" s="19"/>
      <c r="E852" s="19"/>
      <c r="F852" s="19"/>
    </row>
    <row r="853" ht="12.0" customHeight="1">
      <c r="A853" s="19"/>
      <c r="B853" s="19"/>
      <c r="C853" s="19"/>
      <c r="D853" s="19"/>
      <c r="E853" s="19"/>
      <c r="F853" s="19"/>
    </row>
    <row r="854" ht="12.0" customHeight="1">
      <c r="A854" s="19"/>
      <c r="B854" s="19"/>
      <c r="C854" s="19"/>
      <c r="D854" s="19"/>
      <c r="E854" s="19"/>
      <c r="F854" s="19"/>
    </row>
    <row r="855" ht="12.0" customHeight="1">
      <c r="A855" s="19"/>
      <c r="B855" s="19"/>
      <c r="C855" s="19"/>
      <c r="D855" s="19"/>
      <c r="E855" s="19"/>
      <c r="F855" s="19"/>
    </row>
    <row r="856" ht="12.0" customHeight="1">
      <c r="A856" s="19"/>
      <c r="B856" s="19"/>
      <c r="C856" s="19"/>
      <c r="D856" s="19"/>
      <c r="E856" s="19"/>
      <c r="F856" s="19"/>
    </row>
    <row r="857" ht="12.0" customHeight="1">
      <c r="A857" s="19"/>
      <c r="B857" s="19"/>
      <c r="C857" s="19"/>
      <c r="D857" s="19"/>
      <c r="E857" s="19"/>
      <c r="F857" s="19"/>
    </row>
    <row r="858" ht="12.0" customHeight="1">
      <c r="A858" s="19"/>
      <c r="B858" s="19"/>
      <c r="C858" s="19"/>
      <c r="D858" s="19"/>
      <c r="E858" s="19"/>
      <c r="F858" s="19"/>
    </row>
    <row r="859" ht="12.0" customHeight="1">
      <c r="A859" s="19"/>
      <c r="B859" s="19"/>
      <c r="C859" s="19"/>
      <c r="D859" s="19"/>
      <c r="E859" s="19"/>
      <c r="F859" s="19"/>
    </row>
    <row r="860" ht="12.0" customHeight="1">
      <c r="A860" s="19"/>
      <c r="B860" s="19"/>
      <c r="C860" s="19"/>
      <c r="D860" s="19"/>
      <c r="E860" s="19"/>
      <c r="F860" s="19"/>
    </row>
    <row r="861" ht="12.0" customHeight="1">
      <c r="A861" s="19"/>
      <c r="B861" s="19"/>
      <c r="C861" s="19"/>
      <c r="D861" s="19"/>
      <c r="E861" s="19"/>
      <c r="F861" s="19"/>
    </row>
    <row r="862" ht="12.0" customHeight="1">
      <c r="A862" s="19"/>
      <c r="B862" s="19"/>
      <c r="C862" s="19"/>
      <c r="D862" s="19"/>
      <c r="E862" s="19"/>
      <c r="F862" s="19"/>
    </row>
    <row r="863" ht="12.0" customHeight="1">
      <c r="A863" s="19"/>
      <c r="B863" s="19"/>
      <c r="C863" s="19"/>
      <c r="D863" s="19"/>
      <c r="E863" s="19"/>
      <c r="F863" s="19"/>
    </row>
    <row r="864" ht="12.0" customHeight="1">
      <c r="A864" s="19"/>
      <c r="B864" s="19"/>
      <c r="C864" s="19"/>
      <c r="D864" s="19"/>
      <c r="E864" s="19"/>
      <c r="F864" s="19"/>
    </row>
    <row r="865" ht="12.0" customHeight="1">
      <c r="A865" s="19"/>
      <c r="B865" s="19"/>
      <c r="C865" s="19"/>
      <c r="D865" s="19"/>
      <c r="E865" s="19"/>
      <c r="F865" s="19"/>
    </row>
    <row r="866" ht="12.0" customHeight="1">
      <c r="A866" s="19"/>
      <c r="B866" s="19"/>
      <c r="C866" s="19"/>
      <c r="D866" s="19"/>
      <c r="E866" s="19"/>
      <c r="F866" s="19"/>
    </row>
    <row r="867" ht="12.0" customHeight="1">
      <c r="A867" s="19"/>
      <c r="B867" s="19"/>
      <c r="C867" s="19"/>
      <c r="D867" s="19"/>
      <c r="E867" s="19"/>
      <c r="F867" s="19"/>
    </row>
    <row r="868" ht="12.0" customHeight="1">
      <c r="A868" s="19"/>
      <c r="B868" s="19"/>
      <c r="C868" s="19"/>
      <c r="D868" s="19"/>
      <c r="E868" s="19"/>
      <c r="F868" s="19"/>
    </row>
    <row r="869" ht="12.0" customHeight="1">
      <c r="A869" s="19"/>
      <c r="B869" s="19"/>
      <c r="C869" s="19"/>
      <c r="D869" s="19"/>
      <c r="E869" s="19"/>
      <c r="F869" s="19"/>
    </row>
    <row r="870" ht="12.0" customHeight="1">
      <c r="A870" s="19"/>
      <c r="B870" s="19"/>
      <c r="C870" s="19"/>
      <c r="D870" s="19"/>
      <c r="E870" s="19"/>
      <c r="F870" s="19"/>
    </row>
    <row r="871" ht="12.0" customHeight="1">
      <c r="A871" s="19"/>
      <c r="B871" s="19"/>
      <c r="C871" s="19"/>
      <c r="D871" s="19"/>
      <c r="E871" s="19"/>
      <c r="F871" s="19"/>
    </row>
    <row r="872" ht="12.0" customHeight="1">
      <c r="A872" s="19"/>
      <c r="B872" s="19"/>
      <c r="C872" s="19"/>
      <c r="D872" s="19"/>
      <c r="E872" s="19"/>
      <c r="F872" s="19"/>
    </row>
    <row r="873" ht="12.0" customHeight="1">
      <c r="A873" s="19"/>
      <c r="B873" s="19"/>
      <c r="C873" s="19"/>
      <c r="D873" s="19"/>
      <c r="E873" s="19"/>
      <c r="F873" s="19"/>
    </row>
    <row r="874" ht="12.0" customHeight="1">
      <c r="A874" s="19"/>
      <c r="B874" s="19"/>
      <c r="C874" s="19"/>
      <c r="D874" s="19"/>
      <c r="E874" s="19"/>
      <c r="F874" s="19"/>
    </row>
    <row r="875" ht="12.0" customHeight="1">
      <c r="A875" s="19"/>
      <c r="B875" s="19"/>
      <c r="C875" s="19"/>
      <c r="D875" s="19"/>
      <c r="E875" s="19"/>
      <c r="F875" s="19"/>
    </row>
    <row r="876" ht="12.0" customHeight="1">
      <c r="A876" s="19"/>
      <c r="B876" s="19"/>
      <c r="C876" s="19"/>
      <c r="D876" s="19"/>
      <c r="E876" s="19"/>
      <c r="F876" s="19"/>
    </row>
    <row r="877" ht="12.0" customHeight="1">
      <c r="A877" s="19"/>
      <c r="B877" s="19"/>
      <c r="C877" s="19"/>
      <c r="D877" s="19"/>
      <c r="E877" s="19"/>
      <c r="F877" s="19"/>
    </row>
    <row r="878" ht="12.0" customHeight="1">
      <c r="A878" s="19"/>
      <c r="B878" s="19"/>
      <c r="C878" s="19"/>
      <c r="D878" s="19"/>
      <c r="E878" s="19"/>
      <c r="F878" s="19"/>
    </row>
    <row r="879" ht="12.0" customHeight="1">
      <c r="A879" s="19"/>
      <c r="B879" s="19"/>
      <c r="C879" s="19"/>
      <c r="D879" s="19"/>
      <c r="E879" s="19"/>
      <c r="F879" s="19"/>
    </row>
    <row r="880" ht="12.0" customHeight="1">
      <c r="A880" s="19"/>
      <c r="B880" s="19"/>
      <c r="C880" s="19"/>
      <c r="D880" s="19"/>
      <c r="E880" s="19"/>
      <c r="F880" s="19"/>
    </row>
    <row r="881" ht="12.0" customHeight="1">
      <c r="A881" s="19"/>
      <c r="B881" s="19"/>
      <c r="C881" s="19"/>
      <c r="D881" s="19"/>
      <c r="E881" s="19"/>
      <c r="F881" s="19"/>
    </row>
    <row r="882" ht="12.0" customHeight="1">
      <c r="A882" s="19"/>
      <c r="B882" s="19"/>
      <c r="C882" s="19"/>
      <c r="D882" s="19"/>
      <c r="E882" s="19"/>
      <c r="F882" s="19"/>
    </row>
    <row r="883" ht="12.0" customHeight="1">
      <c r="A883" s="19"/>
      <c r="B883" s="19"/>
      <c r="C883" s="19"/>
      <c r="D883" s="19"/>
      <c r="E883" s="19"/>
      <c r="F883" s="19"/>
    </row>
    <row r="884" ht="12.0" customHeight="1">
      <c r="A884" s="19"/>
      <c r="B884" s="19"/>
      <c r="C884" s="19"/>
      <c r="D884" s="19"/>
      <c r="E884" s="19"/>
      <c r="F884" s="19"/>
    </row>
    <row r="885" ht="12.0" customHeight="1">
      <c r="A885" s="19"/>
      <c r="B885" s="19"/>
      <c r="C885" s="19"/>
      <c r="D885" s="19"/>
      <c r="E885" s="19"/>
      <c r="F885" s="19"/>
    </row>
    <row r="886" ht="12.0" customHeight="1">
      <c r="A886" s="19"/>
      <c r="B886" s="19"/>
      <c r="C886" s="19"/>
      <c r="D886" s="19"/>
      <c r="E886" s="19"/>
      <c r="F886" s="19"/>
    </row>
    <row r="887" ht="12.0" customHeight="1">
      <c r="A887" s="19"/>
      <c r="B887" s="19"/>
      <c r="C887" s="19"/>
      <c r="D887" s="19"/>
      <c r="E887" s="19"/>
      <c r="F887" s="19"/>
    </row>
    <row r="888" ht="12.0" customHeight="1">
      <c r="A888" s="19"/>
      <c r="B888" s="19"/>
      <c r="C888" s="19"/>
      <c r="D888" s="19"/>
      <c r="E888" s="19"/>
      <c r="F888" s="19"/>
    </row>
    <row r="889" ht="12.0" customHeight="1">
      <c r="A889" s="19"/>
      <c r="B889" s="19"/>
      <c r="C889" s="19"/>
      <c r="D889" s="19"/>
      <c r="E889" s="19"/>
      <c r="F889" s="19"/>
    </row>
    <row r="890" ht="12.0" customHeight="1">
      <c r="A890" s="19"/>
      <c r="B890" s="19"/>
      <c r="C890" s="19"/>
      <c r="D890" s="19"/>
      <c r="E890" s="19"/>
      <c r="F890" s="19"/>
    </row>
    <row r="891" ht="12.0" customHeight="1">
      <c r="A891" s="19"/>
      <c r="B891" s="19"/>
      <c r="C891" s="19"/>
      <c r="D891" s="19"/>
      <c r="E891" s="19"/>
      <c r="F891" s="19"/>
    </row>
    <row r="892" ht="12.0" customHeight="1">
      <c r="A892" s="19"/>
      <c r="B892" s="19"/>
      <c r="C892" s="19"/>
      <c r="D892" s="19"/>
      <c r="E892" s="19"/>
      <c r="F892" s="19"/>
    </row>
    <row r="893" ht="12.0" customHeight="1">
      <c r="A893" s="19"/>
      <c r="B893" s="19"/>
      <c r="C893" s="19"/>
      <c r="D893" s="19"/>
      <c r="E893" s="19"/>
      <c r="F893" s="19"/>
    </row>
    <row r="894" ht="12.0" customHeight="1">
      <c r="A894" s="19"/>
      <c r="B894" s="19"/>
      <c r="C894" s="19"/>
      <c r="D894" s="19"/>
      <c r="E894" s="19"/>
      <c r="F894" s="19"/>
    </row>
    <row r="895" ht="12.0" customHeight="1">
      <c r="A895" s="19"/>
      <c r="B895" s="19"/>
      <c r="C895" s="19"/>
      <c r="D895" s="19"/>
      <c r="E895" s="19"/>
      <c r="F895" s="19"/>
    </row>
    <row r="896" ht="12.0" customHeight="1">
      <c r="A896" s="19"/>
      <c r="B896" s="19"/>
      <c r="C896" s="19"/>
      <c r="D896" s="19"/>
      <c r="E896" s="19"/>
      <c r="F896" s="19"/>
    </row>
    <row r="897" ht="12.0" customHeight="1">
      <c r="A897" s="19"/>
      <c r="B897" s="19"/>
      <c r="C897" s="19"/>
      <c r="D897" s="19"/>
      <c r="E897" s="19"/>
      <c r="F897" s="19"/>
    </row>
    <row r="898" ht="12.0" customHeight="1">
      <c r="A898" s="19"/>
      <c r="B898" s="19"/>
      <c r="C898" s="19"/>
      <c r="D898" s="19"/>
      <c r="E898" s="19"/>
      <c r="F898" s="19"/>
    </row>
    <row r="899" ht="12.0" customHeight="1">
      <c r="A899" s="19"/>
      <c r="B899" s="19"/>
      <c r="C899" s="19"/>
      <c r="D899" s="19"/>
      <c r="E899" s="19"/>
      <c r="F899" s="19"/>
    </row>
    <row r="900" ht="12.0" customHeight="1">
      <c r="A900" s="19"/>
      <c r="B900" s="19"/>
      <c r="C900" s="19"/>
      <c r="D900" s="19"/>
      <c r="E900" s="19"/>
      <c r="F900" s="19"/>
    </row>
    <row r="901" ht="12.0" customHeight="1">
      <c r="A901" s="19"/>
      <c r="B901" s="19"/>
      <c r="C901" s="19"/>
      <c r="D901" s="19"/>
      <c r="E901" s="19"/>
      <c r="F901" s="19"/>
    </row>
    <row r="902" ht="12.0" customHeight="1">
      <c r="A902" s="19"/>
      <c r="B902" s="19"/>
      <c r="C902" s="19"/>
      <c r="D902" s="19"/>
      <c r="E902" s="19"/>
      <c r="F902" s="19"/>
    </row>
    <row r="903" ht="12.0" customHeight="1">
      <c r="A903" s="19"/>
      <c r="B903" s="19"/>
      <c r="C903" s="19"/>
      <c r="D903" s="19"/>
      <c r="E903" s="19"/>
      <c r="F903" s="19"/>
    </row>
    <row r="904" ht="12.0" customHeight="1">
      <c r="A904" s="19"/>
      <c r="B904" s="19"/>
      <c r="C904" s="19"/>
      <c r="D904" s="19"/>
      <c r="E904" s="19"/>
      <c r="F904" s="19"/>
    </row>
    <row r="905" ht="12.0" customHeight="1">
      <c r="A905" s="19"/>
      <c r="B905" s="19"/>
      <c r="C905" s="19"/>
      <c r="D905" s="19"/>
      <c r="E905" s="19"/>
      <c r="F905" s="19"/>
    </row>
    <row r="906" ht="12.0" customHeight="1">
      <c r="A906" s="19"/>
      <c r="B906" s="19"/>
      <c r="C906" s="19"/>
      <c r="D906" s="19"/>
      <c r="E906" s="19"/>
      <c r="F906" s="19"/>
    </row>
    <row r="907" ht="12.0" customHeight="1">
      <c r="A907" s="19"/>
      <c r="B907" s="19"/>
      <c r="C907" s="19"/>
      <c r="D907" s="19"/>
      <c r="E907" s="19"/>
      <c r="F907" s="19"/>
    </row>
    <row r="908" ht="12.0" customHeight="1">
      <c r="A908" s="19"/>
      <c r="B908" s="19"/>
      <c r="C908" s="19"/>
      <c r="D908" s="19"/>
      <c r="E908" s="19"/>
      <c r="F908" s="19"/>
    </row>
    <row r="909" ht="12.0" customHeight="1">
      <c r="A909" s="19"/>
      <c r="B909" s="19"/>
      <c r="C909" s="19"/>
      <c r="D909" s="19"/>
      <c r="E909" s="19"/>
      <c r="F909" s="19"/>
    </row>
    <row r="910" ht="12.0" customHeight="1">
      <c r="A910" s="19"/>
      <c r="B910" s="19"/>
      <c r="C910" s="19"/>
      <c r="D910" s="19"/>
      <c r="E910" s="19"/>
      <c r="F910" s="19"/>
    </row>
    <row r="911" ht="12.0" customHeight="1">
      <c r="A911" s="19"/>
      <c r="B911" s="19"/>
      <c r="C911" s="19"/>
      <c r="D911" s="19"/>
      <c r="E911" s="19"/>
      <c r="F911" s="19"/>
    </row>
    <row r="912" ht="12.0" customHeight="1">
      <c r="A912" s="19"/>
      <c r="B912" s="19"/>
      <c r="C912" s="19"/>
      <c r="D912" s="19"/>
      <c r="E912" s="19"/>
      <c r="F912" s="19"/>
    </row>
    <row r="913" ht="12.0" customHeight="1">
      <c r="A913" s="19"/>
      <c r="B913" s="19"/>
      <c r="C913" s="19"/>
      <c r="D913" s="19"/>
      <c r="E913" s="19"/>
      <c r="F913" s="19"/>
    </row>
    <row r="914" ht="12.0" customHeight="1">
      <c r="A914" s="19"/>
      <c r="B914" s="19"/>
      <c r="C914" s="19"/>
      <c r="D914" s="19"/>
      <c r="E914" s="19"/>
      <c r="F914" s="19"/>
    </row>
    <row r="915" ht="12.0" customHeight="1">
      <c r="A915" s="19"/>
      <c r="B915" s="19"/>
      <c r="C915" s="19"/>
      <c r="D915" s="19"/>
      <c r="E915" s="19"/>
      <c r="F915" s="19"/>
    </row>
    <row r="916" ht="12.0" customHeight="1">
      <c r="A916" s="19"/>
      <c r="B916" s="19"/>
      <c r="C916" s="19"/>
      <c r="D916" s="19"/>
      <c r="E916" s="19"/>
      <c r="F916" s="19"/>
    </row>
    <row r="917" ht="12.0" customHeight="1">
      <c r="A917" s="19"/>
      <c r="B917" s="19"/>
      <c r="C917" s="19"/>
      <c r="D917" s="19"/>
      <c r="E917" s="19"/>
      <c r="F917" s="19"/>
    </row>
    <row r="918" ht="12.0" customHeight="1">
      <c r="A918" s="19"/>
      <c r="B918" s="19"/>
      <c r="C918" s="19"/>
      <c r="D918" s="19"/>
      <c r="E918" s="19"/>
      <c r="F918" s="19"/>
    </row>
    <row r="919" ht="12.0" customHeight="1">
      <c r="A919" s="19"/>
      <c r="B919" s="19"/>
      <c r="C919" s="19"/>
      <c r="D919" s="19"/>
      <c r="E919" s="19"/>
      <c r="F919" s="19"/>
    </row>
    <row r="920" ht="12.0" customHeight="1">
      <c r="A920" s="19"/>
      <c r="B920" s="19"/>
      <c r="C920" s="19"/>
      <c r="D920" s="19"/>
      <c r="E920" s="19"/>
      <c r="F920" s="19"/>
    </row>
    <row r="921" ht="12.0" customHeight="1">
      <c r="A921" s="19"/>
      <c r="B921" s="19"/>
      <c r="C921" s="19"/>
      <c r="D921" s="19"/>
      <c r="E921" s="19"/>
      <c r="F921" s="19"/>
    </row>
    <row r="922" ht="12.0" customHeight="1">
      <c r="A922" s="19"/>
      <c r="B922" s="19"/>
      <c r="C922" s="19"/>
      <c r="D922" s="19"/>
      <c r="E922" s="19"/>
      <c r="F922" s="19"/>
    </row>
    <row r="923" ht="12.0" customHeight="1">
      <c r="A923" s="19"/>
      <c r="B923" s="19"/>
      <c r="C923" s="19"/>
      <c r="D923" s="19"/>
      <c r="E923" s="19"/>
      <c r="F923" s="19"/>
    </row>
    <row r="924" ht="12.0" customHeight="1">
      <c r="A924" s="19"/>
      <c r="B924" s="19"/>
      <c r="C924" s="19"/>
      <c r="D924" s="19"/>
      <c r="E924" s="19"/>
      <c r="F924" s="19"/>
    </row>
    <row r="925" ht="12.0" customHeight="1">
      <c r="A925" s="19"/>
      <c r="B925" s="19"/>
      <c r="C925" s="19"/>
      <c r="D925" s="19"/>
      <c r="E925" s="19"/>
      <c r="F925" s="19"/>
    </row>
    <row r="926" ht="12.0" customHeight="1">
      <c r="A926" s="19"/>
      <c r="B926" s="19"/>
      <c r="C926" s="19"/>
      <c r="D926" s="19"/>
      <c r="E926" s="19"/>
      <c r="F926" s="19"/>
    </row>
    <row r="927" ht="12.0" customHeight="1">
      <c r="A927" s="19"/>
      <c r="B927" s="19"/>
      <c r="C927" s="19"/>
      <c r="D927" s="19"/>
      <c r="E927" s="19"/>
      <c r="F927" s="19"/>
    </row>
    <row r="928" ht="12.0" customHeight="1">
      <c r="A928" s="19"/>
      <c r="B928" s="19"/>
      <c r="C928" s="19"/>
      <c r="D928" s="19"/>
      <c r="E928" s="19"/>
      <c r="F928" s="19"/>
    </row>
    <row r="929" ht="12.0" customHeight="1">
      <c r="A929" s="19"/>
      <c r="B929" s="19"/>
      <c r="C929" s="19"/>
      <c r="D929" s="19"/>
      <c r="E929" s="19"/>
      <c r="F929" s="19"/>
    </row>
    <row r="930" ht="12.0" customHeight="1">
      <c r="A930" s="19"/>
      <c r="B930" s="19"/>
      <c r="C930" s="19"/>
      <c r="D930" s="19"/>
      <c r="E930" s="19"/>
      <c r="F930" s="19"/>
    </row>
    <row r="931" ht="12.0" customHeight="1">
      <c r="A931" s="19"/>
      <c r="B931" s="19"/>
      <c r="C931" s="19"/>
      <c r="D931" s="19"/>
      <c r="E931" s="19"/>
      <c r="F931" s="19"/>
    </row>
    <row r="932" ht="12.0" customHeight="1">
      <c r="A932" s="19"/>
      <c r="B932" s="19"/>
      <c r="C932" s="19"/>
      <c r="D932" s="19"/>
      <c r="E932" s="19"/>
      <c r="F932" s="19"/>
    </row>
    <row r="933" ht="12.0" customHeight="1">
      <c r="A933" s="19"/>
      <c r="B933" s="19"/>
      <c r="C933" s="19"/>
      <c r="D933" s="19"/>
      <c r="E933" s="19"/>
      <c r="F933" s="19"/>
    </row>
    <row r="934" ht="12.0" customHeight="1">
      <c r="A934" s="19"/>
      <c r="B934" s="19"/>
      <c r="C934" s="19"/>
      <c r="D934" s="19"/>
      <c r="E934" s="19"/>
      <c r="F934" s="19"/>
    </row>
    <row r="935" ht="12.0" customHeight="1">
      <c r="A935" s="19"/>
      <c r="B935" s="19"/>
      <c r="C935" s="19"/>
      <c r="D935" s="19"/>
      <c r="E935" s="19"/>
      <c r="F935" s="19"/>
    </row>
    <row r="936" ht="12.0" customHeight="1">
      <c r="A936" s="19"/>
      <c r="B936" s="19"/>
      <c r="C936" s="19"/>
      <c r="D936" s="19"/>
      <c r="E936" s="19"/>
      <c r="F936" s="19"/>
    </row>
    <row r="937" ht="12.0" customHeight="1">
      <c r="A937" s="19"/>
      <c r="B937" s="19"/>
      <c r="C937" s="19"/>
      <c r="D937" s="19"/>
      <c r="E937" s="19"/>
      <c r="F937" s="19"/>
    </row>
    <row r="938" ht="12.0" customHeight="1">
      <c r="A938" s="19"/>
      <c r="B938" s="19"/>
      <c r="C938" s="19"/>
      <c r="D938" s="19"/>
      <c r="E938" s="19"/>
      <c r="F938" s="19"/>
    </row>
    <row r="939" ht="12.0" customHeight="1">
      <c r="A939" s="19"/>
      <c r="B939" s="19"/>
      <c r="C939" s="19"/>
      <c r="D939" s="19"/>
      <c r="E939" s="19"/>
      <c r="F939" s="19"/>
    </row>
    <row r="940" ht="12.0" customHeight="1">
      <c r="A940" s="19"/>
      <c r="B940" s="19"/>
      <c r="C940" s="19"/>
      <c r="D940" s="19"/>
      <c r="E940" s="19"/>
      <c r="F940" s="19"/>
    </row>
    <row r="941" ht="12.0" customHeight="1">
      <c r="A941" s="19"/>
      <c r="B941" s="19"/>
      <c r="C941" s="19"/>
      <c r="D941" s="19"/>
      <c r="E941" s="19"/>
      <c r="F941" s="19"/>
    </row>
    <row r="942" ht="12.0" customHeight="1">
      <c r="A942" s="19"/>
      <c r="B942" s="19"/>
      <c r="C942" s="19"/>
      <c r="D942" s="19"/>
      <c r="E942" s="19"/>
      <c r="F942" s="19"/>
    </row>
    <row r="943" ht="12.0" customHeight="1">
      <c r="A943" s="19"/>
      <c r="B943" s="19"/>
      <c r="C943" s="19"/>
      <c r="D943" s="19"/>
      <c r="E943" s="19"/>
      <c r="F943" s="19"/>
    </row>
    <row r="944" ht="12.0" customHeight="1">
      <c r="A944" s="19"/>
      <c r="B944" s="19"/>
      <c r="C944" s="19"/>
      <c r="D944" s="19"/>
      <c r="E944" s="19"/>
      <c r="F944" s="19"/>
    </row>
    <row r="945" ht="12.0" customHeight="1">
      <c r="A945" s="19"/>
      <c r="B945" s="19"/>
      <c r="C945" s="19"/>
      <c r="D945" s="19"/>
      <c r="E945" s="19"/>
      <c r="F945" s="19"/>
    </row>
    <row r="946" ht="12.0" customHeight="1">
      <c r="A946" s="19"/>
      <c r="B946" s="19"/>
      <c r="C946" s="19"/>
      <c r="D946" s="19"/>
      <c r="E946" s="19"/>
      <c r="F946" s="19"/>
    </row>
    <row r="947" ht="12.0" customHeight="1">
      <c r="A947" s="19"/>
      <c r="B947" s="19"/>
      <c r="C947" s="19"/>
      <c r="D947" s="19"/>
      <c r="E947" s="19"/>
      <c r="F947" s="19"/>
    </row>
    <row r="948" ht="12.0" customHeight="1">
      <c r="A948" s="19"/>
      <c r="B948" s="19"/>
      <c r="C948" s="19"/>
      <c r="D948" s="19"/>
      <c r="E948" s="19"/>
      <c r="F948" s="19"/>
    </row>
    <row r="949" ht="12.0" customHeight="1">
      <c r="A949" s="19"/>
      <c r="B949" s="19"/>
      <c r="C949" s="19"/>
      <c r="D949" s="19"/>
      <c r="E949" s="19"/>
      <c r="F949" s="19"/>
    </row>
    <row r="950" ht="12.0" customHeight="1">
      <c r="A950" s="19"/>
      <c r="B950" s="19"/>
      <c r="C950" s="19"/>
      <c r="D950" s="19"/>
      <c r="E950" s="19"/>
      <c r="F950" s="19"/>
    </row>
    <row r="951" ht="12.0" customHeight="1">
      <c r="A951" s="19"/>
      <c r="B951" s="19"/>
      <c r="C951" s="19"/>
      <c r="D951" s="19"/>
      <c r="E951" s="19"/>
      <c r="F951" s="19"/>
    </row>
    <row r="952" ht="12.0" customHeight="1">
      <c r="A952" s="19"/>
      <c r="B952" s="19"/>
      <c r="C952" s="19"/>
      <c r="D952" s="19"/>
      <c r="E952" s="19"/>
      <c r="F952" s="19"/>
    </row>
    <row r="953" ht="12.0" customHeight="1">
      <c r="A953" s="19"/>
      <c r="B953" s="19"/>
      <c r="C953" s="19"/>
      <c r="D953" s="19"/>
      <c r="E953" s="19"/>
      <c r="F953" s="19"/>
    </row>
    <row r="954" ht="12.0" customHeight="1">
      <c r="A954" s="19"/>
      <c r="B954" s="19"/>
      <c r="C954" s="19"/>
      <c r="D954" s="19"/>
      <c r="E954" s="19"/>
      <c r="F954" s="19"/>
    </row>
    <row r="955" ht="12.0" customHeight="1">
      <c r="A955" s="19"/>
      <c r="B955" s="19"/>
      <c r="C955" s="19"/>
      <c r="D955" s="19"/>
      <c r="E955" s="19"/>
      <c r="F955" s="19"/>
    </row>
    <row r="956" ht="12.0" customHeight="1">
      <c r="A956" s="19"/>
      <c r="B956" s="19"/>
      <c r="C956" s="19"/>
      <c r="D956" s="19"/>
      <c r="E956" s="19"/>
      <c r="F956" s="19"/>
    </row>
    <row r="957" ht="12.0" customHeight="1">
      <c r="A957" s="19"/>
      <c r="B957" s="19"/>
      <c r="C957" s="19"/>
      <c r="D957" s="19"/>
      <c r="E957" s="19"/>
      <c r="F957" s="19"/>
    </row>
    <row r="958" ht="12.0" customHeight="1">
      <c r="A958" s="19"/>
      <c r="B958" s="19"/>
      <c r="C958" s="19"/>
      <c r="D958" s="19"/>
      <c r="E958" s="19"/>
      <c r="F958" s="19"/>
    </row>
    <row r="959" ht="12.0" customHeight="1">
      <c r="A959" s="19"/>
      <c r="B959" s="19"/>
      <c r="C959" s="19"/>
      <c r="D959" s="19"/>
      <c r="E959" s="19"/>
      <c r="F959" s="19"/>
    </row>
    <row r="960" ht="12.0" customHeight="1">
      <c r="A960" s="19"/>
      <c r="B960" s="19"/>
      <c r="C960" s="19"/>
      <c r="D960" s="19"/>
      <c r="E960" s="19"/>
      <c r="F960" s="19"/>
    </row>
    <row r="961" ht="12.0" customHeight="1">
      <c r="A961" s="19"/>
      <c r="B961" s="19"/>
      <c r="C961" s="19"/>
      <c r="D961" s="19"/>
      <c r="E961" s="19"/>
      <c r="F961" s="19"/>
    </row>
    <row r="962" ht="12.0" customHeight="1">
      <c r="A962" s="19"/>
      <c r="B962" s="19"/>
      <c r="C962" s="19"/>
      <c r="D962" s="19"/>
      <c r="E962" s="19"/>
      <c r="F962" s="19"/>
    </row>
    <row r="963" ht="12.0" customHeight="1">
      <c r="A963" s="19"/>
      <c r="B963" s="19"/>
      <c r="C963" s="19"/>
      <c r="D963" s="19"/>
      <c r="E963" s="19"/>
      <c r="F963" s="19"/>
    </row>
    <row r="964" ht="12.0" customHeight="1">
      <c r="A964" s="19"/>
      <c r="B964" s="19"/>
      <c r="C964" s="19"/>
      <c r="D964" s="19"/>
      <c r="E964" s="19"/>
      <c r="F964" s="19"/>
    </row>
    <row r="965" ht="12.0" customHeight="1">
      <c r="A965" s="19"/>
      <c r="B965" s="19"/>
      <c r="C965" s="19"/>
      <c r="D965" s="19"/>
      <c r="E965" s="19"/>
      <c r="F965" s="19"/>
    </row>
    <row r="966" ht="12.0" customHeight="1">
      <c r="A966" s="19"/>
      <c r="B966" s="19"/>
      <c r="C966" s="19"/>
      <c r="D966" s="19"/>
      <c r="E966" s="19"/>
      <c r="F966" s="19"/>
    </row>
    <row r="967" ht="12.0" customHeight="1">
      <c r="A967" s="19"/>
      <c r="B967" s="19"/>
      <c r="C967" s="19"/>
      <c r="D967" s="19"/>
      <c r="E967" s="19"/>
      <c r="F967" s="19"/>
    </row>
    <row r="968" ht="12.0" customHeight="1">
      <c r="A968" s="19"/>
      <c r="B968" s="19"/>
      <c r="C968" s="19"/>
      <c r="D968" s="19"/>
      <c r="E968" s="19"/>
      <c r="F968" s="19"/>
    </row>
    <row r="969" ht="12.0" customHeight="1">
      <c r="A969" s="19"/>
      <c r="B969" s="19"/>
      <c r="C969" s="19"/>
      <c r="D969" s="19"/>
      <c r="E969" s="19"/>
      <c r="F969" s="19"/>
    </row>
    <row r="970" ht="12.0" customHeight="1">
      <c r="A970" s="19"/>
      <c r="B970" s="19"/>
      <c r="C970" s="19"/>
      <c r="D970" s="19"/>
      <c r="E970" s="19"/>
      <c r="F970" s="19"/>
    </row>
    <row r="971" ht="12.0" customHeight="1">
      <c r="A971" s="19"/>
      <c r="B971" s="19"/>
      <c r="C971" s="19"/>
      <c r="D971" s="19"/>
      <c r="E971" s="19"/>
      <c r="F971" s="19"/>
    </row>
    <row r="972" ht="12.0" customHeight="1">
      <c r="A972" s="19"/>
      <c r="B972" s="19"/>
      <c r="C972" s="19"/>
      <c r="D972" s="19"/>
      <c r="E972" s="19"/>
      <c r="F972" s="19"/>
    </row>
    <row r="973" ht="12.0" customHeight="1">
      <c r="A973" s="19"/>
      <c r="B973" s="19"/>
      <c r="C973" s="19"/>
      <c r="D973" s="19"/>
      <c r="E973" s="19"/>
      <c r="F973" s="19"/>
    </row>
    <row r="974" ht="12.0" customHeight="1">
      <c r="A974" s="19"/>
      <c r="B974" s="19"/>
      <c r="C974" s="19"/>
      <c r="D974" s="19"/>
      <c r="E974" s="19"/>
      <c r="F974" s="19"/>
    </row>
    <row r="975" ht="12.0" customHeight="1">
      <c r="A975" s="19"/>
      <c r="B975" s="19"/>
      <c r="C975" s="19"/>
      <c r="D975" s="19"/>
      <c r="E975" s="19"/>
      <c r="F975" s="19"/>
    </row>
    <row r="976" ht="12.0" customHeight="1">
      <c r="A976" s="19"/>
      <c r="B976" s="19"/>
      <c r="C976" s="19"/>
      <c r="D976" s="19"/>
      <c r="E976" s="19"/>
      <c r="F976" s="19"/>
    </row>
    <row r="977" ht="12.0" customHeight="1">
      <c r="A977" s="19"/>
      <c r="B977" s="19"/>
      <c r="C977" s="19"/>
      <c r="D977" s="19"/>
      <c r="E977" s="19"/>
      <c r="F977" s="19"/>
    </row>
    <row r="978" ht="12.0" customHeight="1">
      <c r="A978" s="19"/>
      <c r="B978" s="19"/>
      <c r="C978" s="19"/>
      <c r="D978" s="19"/>
      <c r="E978" s="19"/>
      <c r="F978" s="19"/>
    </row>
    <row r="979" ht="12.0" customHeight="1">
      <c r="A979" s="19"/>
      <c r="B979" s="19"/>
      <c r="C979" s="19"/>
      <c r="D979" s="19"/>
      <c r="E979" s="19"/>
      <c r="F979" s="19"/>
    </row>
    <row r="980" ht="12.0" customHeight="1">
      <c r="A980" s="19"/>
      <c r="B980" s="19"/>
      <c r="C980" s="19"/>
      <c r="D980" s="19"/>
      <c r="E980" s="19"/>
      <c r="F980" s="19"/>
    </row>
    <row r="981" ht="12.0" customHeight="1">
      <c r="A981" s="19"/>
      <c r="B981" s="19"/>
      <c r="C981" s="19"/>
      <c r="D981" s="19"/>
      <c r="E981" s="19"/>
      <c r="F981" s="19"/>
    </row>
    <row r="982" ht="12.0" customHeight="1">
      <c r="A982" s="19"/>
      <c r="B982" s="19"/>
      <c r="C982" s="19"/>
      <c r="D982" s="19"/>
      <c r="E982" s="19"/>
      <c r="F982" s="19"/>
    </row>
    <row r="983" ht="12.0" customHeight="1">
      <c r="A983" s="19"/>
      <c r="B983" s="19"/>
      <c r="C983" s="19"/>
      <c r="D983" s="19"/>
      <c r="E983" s="19"/>
      <c r="F983" s="19"/>
    </row>
    <row r="984" ht="12.0" customHeight="1">
      <c r="A984" s="19"/>
      <c r="B984" s="19"/>
      <c r="C984" s="19"/>
      <c r="D984" s="19"/>
      <c r="E984" s="19"/>
      <c r="F984" s="19"/>
    </row>
    <row r="985" ht="12.0" customHeight="1">
      <c r="A985" s="19"/>
      <c r="B985" s="19"/>
      <c r="C985" s="19"/>
      <c r="D985" s="19"/>
      <c r="E985" s="19"/>
      <c r="F985" s="19"/>
    </row>
    <row r="986" ht="12.0" customHeight="1">
      <c r="A986" s="19"/>
      <c r="B986" s="19"/>
      <c r="C986" s="19"/>
      <c r="D986" s="19"/>
      <c r="E986" s="19"/>
      <c r="F986" s="19"/>
    </row>
    <row r="987" ht="12.0" customHeight="1">
      <c r="A987" s="19"/>
      <c r="B987" s="19"/>
      <c r="C987" s="19"/>
      <c r="D987" s="19"/>
      <c r="E987" s="19"/>
      <c r="F987" s="19"/>
    </row>
    <row r="988" ht="12.0" customHeight="1">
      <c r="A988" s="19"/>
      <c r="B988" s="19"/>
      <c r="C988" s="19"/>
      <c r="D988" s="19"/>
      <c r="E988" s="19"/>
      <c r="F988" s="19"/>
    </row>
    <row r="989" ht="12.0" customHeight="1">
      <c r="A989" s="19"/>
      <c r="B989" s="19"/>
      <c r="C989" s="19"/>
      <c r="D989" s="19"/>
      <c r="E989" s="19"/>
      <c r="F989" s="19"/>
    </row>
    <row r="990" ht="12.0" customHeight="1">
      <c r="A990" s="19"/>
      <c r="B990" s="19"/>
      <c r="C990" s="19"/>
      <c r="D990" s="19"/>
      <c r="E990" s="19"/>
      <c r="F990" s="19"/>
    </row>
    <row r="991" ht="12.0" customHeight="1">
      <c r="A991" s="19"/>
      <c r="B991" s="19"/>
      <c r="C991" s="19"/>
      <c r="D991" s="19"/>
      <c r="E991" s="19"/>
      <c r="F991" s="19"/>
    </row>
    <row r="992" ht="12.0" customHeight="1">
      <c r="A992" s="19"/>
      <c r="B992" s="19"/>
      <c r="C992" s="19"/>
      <c r="D992" s="19"/>
      <c r="E992" s="19"/>
      <c r="F992" s="19"/>
    </row>
    <row r="993" ht="12.0" customHeight="1">
      <c r="A993" s="19"/>
      <c r="B993" s="19"/>
      <c r="C993" s="19"/>
      <c r="D993" s="19"/>
      <c r="E993" s="19"/>
      <c r="F993" s="19"/>
    </row>
    <row r="994" ht="12.0" customHeight="1">
      <c r="A994" s="19"/>
      <c r="B994" s="19"/>
      <c r="C994" s="19"/>
      <c r="D994" s="19"/>
      <c r="E994" s="19"/>
      <c r="F994" s="19"/>
    </row>
    <row r="995" ht="12.0" customHeight="1">
      <c r="A995" s="19"/>
      <c r="B995" s="19"/>
      <c r="C995" s="19"/>
      <c r="D995" s="19"/>
      <c r="E995" s="19"/>
      <c r="F995" s="19"/>
    </row>
    <row r="996" ht="12.0" customHeight="1">
      <c r="A996" s="19"/>
      <c r="B996" s="19"/>
      <c r="C996" s="19"/>
      <c r="D996" s="19"/>
      <c r="E996" s="19"/>
      <c r="F996" s="19"/>
    </row>
    <row r="997" ht="12.0" customHeight="1">
      <c r="A997" s="19"/>
      <c r="B997" s="19"/>
      <c r="C997" s="19"/>
      <c r="D997" s="19"/>
      <c r="E997" s="19"/>
      <c r="F997" s="19"/>
    </row>
    <row r="998" ht="12.0" customHeight="1">
      <c r="A998" s="19"/>
      <c r="B998" s="19"/>
      <c r="C998" s="19"/>
      <c r="D998" s="19"/>
      <c r="E998" s="19"/>
      <c r="F998" s="19"/>
    </row>
    <row r="999" ht="12.0" customHeight="1">
      <c r="A999" s="19"/>
      <c r="B999" s="19"/>
      <c r="C999" s="19"/>
      <c r="D999" s="19"/>
      <c r="E999" s="19"/>
      <c r="F999" s="19"/>
    </row>
    <row r="1000" ht="12.0" customHeight="1">
      <c r="A1000" s="19"/>
      <c r="B1000" s="19"/>
      <c r="C1000" s="19"/>
      <c r="D1000" s="19"/>
      <c r="E1000" s="19"/>
      <c r="F1000" s="1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2024-05-08T23:34:00Z</dcterms:created>
  <dc:creator>azumi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1041-12.2.0.22549</vt:lpwstr>
  </property>
  <property fmtid="{D5CDD505-2E9C-101B-9397-08002B2CF9AE}" pid="3" name="ICV">
    <vt:lpwstr>07C63DA8E0AD444A9A238E2E3FD54B06_12</vt:lpwstr>
  </property>
</Properties>
</file>